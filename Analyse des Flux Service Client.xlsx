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55cef0af8f9a8e/Data-Driven/Datacamp/Nouveau dossier/"/>
    </mc:Choice>
  </mc:AlternateContent>
  <xr:revisionPtr revIDLastSave="164" documentId="8_{91C7F49F-7EBA-425D-96F4-204E4C7FFFB5}" xr6:coauthVersionLast="47" xr6:coauthVersionMax="47" xr10:uidLastSave="{9E32164E-2472-4108-9794-95D1F52C8E22}"/>
  <bookViews>
    <workbookView xWindow="-110" yWindow="-110" windowWidth="19420" windowHeight="10420" activeTab="6" xr2:uid="{5A7E4192-747C-4A1F-84B2-FC5225C75849}"/>
  </bookViews>
  <sheets>
    <sheet name="Clean_Data" sheetId="2" r:id="rId1"/>
    <sheet name="TCD1" sheetId="3" r:id="rId2"/>
    <sheet name="TCD2" sheetId="4" r:id="rId3"/>
    <sheet name="TCD3" sheetId="5" r:id="rId4"/>
    <sheet name="TCD4" sheetId="6" r:id="rId5"/>
    <sheet name="TCD5" sheetId="11" r:id="rId6"/>
    <sheet name="DASHBOARD" sheetId="7" r:id="rId7"/>
  </sheets>
  <definedNames>
    <definedName name="DonnéesExternes_1" localSheetId="0" hidden="1">Clean_Data!$A$1:$E$301</definedName>
    <definedName name="Segment_Canal">#N/A</definedName>
    <definedName name="Segment_Motif_contact">#N/A</definedName>
    <definedName name="_xlnm.Print_Area" localSheetId="6">DASHBOARD!$A$1:$Q$40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7" l="1"/>
  <c r="G6" i="7"/>
  <c r="K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B0ED9A-B655-4D20-B2CD-2C4A1FA44C82}" keepAlive="1" name="Requête - MOCK_DATA" description="Connexion à la requête « MOCK_DATA » dans le classeur." type="5" refreshedVersion="7" background="1" saveData="1">
    <dbPr connection="Provider=Microsoft.Mashup.OleDb.1;Data Source=$Workbook$;Location=MOCK_DATA;Extended Properties=&quot;&quot;" command="SELECT * FROM [MOCK_DATA]"/>
  </connection>
</connections>
</file>

<file path=xl/sharedStrings.xml><?xml version="1.0" encoding="utf-8"?>
<sst xmlns="http://schemas.openxmlformats.org/spreadsheetml/2006/main" count="638" uniqueCount="26">
  <si>
    <t>Date</t>
  </si>
  <si>
    <t>Canal</t>
  </si>
  <si>
    <t>Motif_contact</t>
  </si>
  <si>
    <t>Nb_contacts</t>
  </si>
  <si>
    <t>Temps_moyen_traitement</t>
  </si>
  <si>
    <t>Taux_resolution</t>
  </si>
  <si>
    <t>Chat</t>
  </si>
  <si>
    <t>Technique</t>
  </si>
  <si>
    <t>Information</t>
  </si>
  <si>
    <t>Facturation</t>
  </si>
  <si>
    <t>Email</t>
  </si>
  <si>
    <t>Téléphone</t>
  </si>
  <si>
    <t>Résiliation</t>
  </si>
  <si>
    <t>Total général</t>
  </si>
  <si>
    <t>janv</t>
  </si>
  <si>
    <t>févr</t>
  </si>
  <si>
    <t>mars</t>
  </si>
  <si>
    <t>Mois</t>
  </si>
  <si>
    <t>Motif</t>
  </si>
  <si>
    <t>TOTAL CONTACTS</t>
  </si>
  <si>
    <t>TAUX DE RESOLUTION</t>
  </si>
  <si>
    <t>TEMPS MOYEN (min)</t>
  </si>
  <si>
    <t>Contacts</t>
  </si>
  <si>
    <t>Temps moyen (min)</t>
  </si>
  <si>
    <t>Taux de résolution (%)</t>
  </si>
  <si>
    <t>Projet personnel – Simulation analytique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</si>
</sst>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9" fontId="0" fillId="0" borderId="0" xfId="2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5" fillId="3" borderId="0" xfId="0" applyFont="1" applyFill="1" applyAlignment="1">
      <alignment horizontal="center"/>
    </xf>
    <xf numFmtId="3" fontId="6" fillId="3" borderId="0" xfId="1" applyNumberFormat="1" applyFont="1" applyFill="1" applyAlignment="1">
      <alignment horizontal="center"/>
    </xf>
    <xf numFmtId="9" fontId="5" fillId="3" borderId="0" xfId="2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10" fontId="6" fillId="3" borderId="0" xfId="2" applyNumberFormat="1" applyFont="1" applyFill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7"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Flux Service Client.xlsx]TCD1!Volume total par mois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'TCD1'!$A$4:$A$7</c:f>
              <c:strCache>
                <c:ptCount val="3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</c:strCache>
            </c:strRef>
          </c:cat>
          <c:val>
            <c:numRef>
              <c:f>'TCD1'!$B$4:$B$7</c:f>
              <c:numCache>
                <c:formatCode>General</c:formatCode>
                <c:ptCount val="3"/>
                <c:pt idx="0">
                  <c:v>12331</c:v>
                </c:pt>
                <c:pt idx="1">
                  <c:v>10897</c:v>
                </c:pt>
                <c:pt idx="2">
                  <c:v>10166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E-491C-9D9D-542D2855C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665280"/>
        <c:axId val="535662368"/>
      </c:lineChart>
      <c:catAx>
        <c:axId val="53566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662368"/>
        <c:crosses val="autoZero"/>
        <c:auto val="1"/>
        <c:lblAlgn val="ctr"/>
        <c:lblOffset val="100"/>
        <c:noMultiLvlLbl val="0"/>
      </c:catAx>
      <c:valAx>
        <c:axId val="53566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6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Flux Service Client.xlsx]TCD2!Volume par canal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46981627296588"/>
          <c:y val="0.24939596092155147"/>
          <c:w val="0.7484560367454068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'TCD2'!$B$3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'TCD2'!$A$4:$A$7</c:f>
              <c:strCache>
                <c:ptCount val="3"/>
                <c:pt idx="0">
                  <c:v>Email</c:v>
                </c:pt>
                <c:pt idx="1">
                  <c:v>Téléphone</c:v>
                </c:pt>
                <c:pt idx="2">
                  <c:v>Chat</c:v>
                </c:pt>
              </c:strCache>
            </c:strRef>
          </c:cat>
          <c:val>
            <c:numRef>
              <c:f>'TCD2'!$B$4:$B$7</c:f>
              <c:numCache>
                <c:formatCode>General</c:formatCode>
                <c:ptCount val="3"/>
                <c:pt idx="0">
                  <c:v>9643</c:v>
                </c:pt>
                <c:pt idx="1">
                  <c:v>11054</c:v>
                </c:pt>
                <c:pt idx="2">
                  <c:v>12697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6-4257-9AFC-7B9BC49A2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181888"/>
        <c:axId val="419176480"/>
      </c:barChart>
      <c:catAx>
        <c:axId val="4191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176480"/>
        <c:crosses val="autoZero"/>
        <c:auto val="1"/>
        <c:lblAlgn val="ctr"/>
        <c:lblOffset val="100"/>
        <c:noMultiLvlLbl val="0"/>
      </c:catAx>
      <c:valAx>
        <c:axId val="419176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18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Flux Service Client.xlsx]TCD3!Volume par motif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'TCD3'!$A$4:$A$8</c:f>
              <c:strCache>
                <c:ptCount val="4"/>
                <c:pt idx="0">
                  <c:v>Facturation</c:v>
                </c:pt>
                <c:pt idx="1">
                  <c:v>Résiliation</c:v>
                </c:pt>
                <c:pt idx="2">
                  <c:v>Technique</c:v>
                </c:pt>
                <c:pt idx="3">
                  <c:v>Information</c:v>
                </c:pt>
              </c:strCache>
            </c:strRef>
          </c:cat>
          <c:val>
            <c:numRef>
              <c:f>'TCD3'!$B$4:$B$8</c:f>
              <c:numCache>
                <c:formatCode>General</c:formatCode>
                <c:ptCount val="4"/>
                <c:pt idx="0">
                  <c:v>7156</c:v>
                </c:pt>
                <c:pt idx="1">
                  <c:v>7611</c:v>
                </c:pt>
                <c:pt idx="2">
                  <c:v>8742</c:v>
                </c:pt>
                <c:pt idx="3">
                  <c:v>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A-45FE-82C8-28CFC5DA5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419856"/>
        <c:axId val="435422768"/>
      </c:barChart>
      <c:catAx>
        <c:axId val="43541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5422768"/>
        <c:crosses val="autoZero"/>
        <c:auto val="1"/>
        <c:lblAlgn val="ctr"/>
        <c:lblOffset val="100"/>
        <c:noMultiLvlLbl val="0"/>
      </c:catAx>
      <c:valAx>
        <c:axId val="43542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54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Flux Service Client.xlsx]TCD5!Moyenne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'TCD5'!$B$3</c:f>
              <c:strCache>
                <c:ptCount val="1"/>
                <c:pt idx="0">
                  <c:v>Temps moyen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'TCD5'!$A$4:$A$7</c:f>
              <c:strCache>
                <c:ptCount val="3"/>
                <c:pt idx="0">
                  <c:v>Chat</c:v>
                </c:pt>
                <c:pt idx="1">
                  <c:v>Email</c:v>
                </c:pt>
                <c:pt idx="2">
                  <c:v>Téléphone</c:v>
                </c:pt>
              </c:strCache>
            </c:strRef>
          </c:cat>
          <c:val>
            <c:numRef>
              <c:f>'TCD5'!$B$4:$B$7</c:f>
              <c:numCache>
                <c:formatCode>0</c:formatCode>
                <c:ptCount val="3"/>
                <c:pt idx="0">
                  <c:v>9.3571428571428577</c:v>
                </c:pt>
                <c:pt idx="1">
                  <c:v>10.023255813953488</c:v>
                </c:pt>
                <c:pt idx="2">
                  <c:v>9.764705882352942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2-482C-B7F8-4C8283307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3743440"/>
        <c:axId val="873731376"/>
      </c:barChart>
      <c:lineChart>
        <c:grouping val="standard"/>
        <c:varyColors val="0"/>
        <c:ser>
          <c:idx val="1"/>
          <c:order val="1"/>
          <c:tx>
            <c:strRef>
              <c:f>'TCD5'!$C$3</c:f>
              <c:strCache>
                <c:ptCount val="1"/>
                <c:pt idx="0">
                  <c:v>Taux de résolution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'TCD5'!$A$4:$A$7</c:f>
              <c:strCache>
                <c:ptCount val="3"/>
                <c:pt idx="0">
                  <c:v>Chat</c:v>
                </c:pt>
                <c:pt idx="1">
                  <c:v>Email</c:v>
                </c:pt>
                <c:pt idx="2">
                  <c:v>Téléphone</c:v>
                </c:pt>
              </c:strCache>
            </c:strRef>
          </c:cat>
          <c:val>
            <c:numRef>
              <c:f>'TCD5'!$C$4:$C$7</c:f>
              <c:numCache>
                <c:formatCode>0%</c:formatCode>
                <c:ptCount val="3"/>
                <c:pt idx="0">
                  <c:v>0.81276785714285715</c:v>
                </c:pt>
                <c:pt idx="1">
                  <c:v>0.79744186046511623</c:v>
                </c:pt>
                <c:pt idx="2">
                  <c:v>0.77686274509803932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2-482C-B7F8-4C8283307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743440"/>
        <c:axId val="873731376"/>
      </c:lineChart>
      <c:catAx>
        <c:axId val="87374344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3731376"/>
        <c:crosses val="autoZero"/>
        <c:auto val="1"/>
        <c:lblAlgn val="ctr"/>
        <c:lblOffset val="100"/>
        <c:noMultiLvlLbl val="0"/>
      </c:catAx>
      <c:valAx>
        <c:axId val="87373137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374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Flux Service Client.xlsx]TCD2!Volume par canal</c:name>
    <c:fmtId val="2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'TCD2'!$A$4:$A$7</c:f>
              <c:strCache>
                <c:ptCount val="3"/>
                <c:pt idx="0">
                  <c:v>Email</c:v>
                </c:pt>
                <c:pt idx="1">
                  <c:v>Téléphone</c:v>
                </c:pt>
                <c:pt idx="2">
                  <c:v>Chat</c:v>
                </c:pt>
              </c:strCache>
            </c:strRef>
          </c:cat>
          <c:val>
            <c:numRef>
              <c:f>'TCD2'!$B$4:$B$7</c:f>
              <c:numCache>
                <c:formatCode>General</c:formatCode>
                <c:ptCount val="3"/>
                <c:pt idx="0">
                  <c:v>9643</c:v>
                </c:pt>
                <c:pt idx="1">
                  <c:v>11054</c:v>
                </c:pt>
                <c:pt idx="2">
                  <c:v>12697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C-40A6-BD6B-15CC9278B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698864"/>
        <c:axId val="1542704688"/>
      </c:barChart>
      <c:catAx>
        <c:axId val="154269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2704688"/>
        <c:crosses val="autoZero"/>
        <c:auto val="1"/>
        <c:lblAlgn val="ctr"/>
        <c:lblOffset val="100"/>
        <c:noMultiLvlLbl val="0"/>
      </c:catAx>
      <c:valAx>
        <c:axId val="15427046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269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Flux Service Client.xlsx]TCD3!Volume par motif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'TCD3'!$A$4:$A$8</c:f>
              <c:strCache>
                <c:ptCount val="4"/>
                <c:pt idx="0">
                  <c:v>Facturation</c:v>
                </c:pt>
                <c:pt idx="1">
                  <c:v>Résiliation</c:v>
                </c:pt>
                <c:pt idx="2">
                  <c:v>Technique</c:v>
                </c:pt>
                <c:pt idx="3">
                  <c:v>Information</c:v>
                </c:pt>
              </c:strCache>
            </c:strRef>
          </c:cat>
          <c:val>
            <c:numRef>
              <c:f>'TCD3'!$B$4:$B$8</c:f>
              <c:numCache>
                <c:formatCode>General</c:formatCode>
                <c:ptCount val="4"/>
                <c:pt idx="0">
                  <c:v>7156</c:v>
                </c:pt>
                <c:pt idx="1">
                  <c:v>7611</c:v>
                </c:pt>
                <c:pt idx="2">
                  <c:v>8742</c:v>
                </c:pt>
                <c:pt idx="3">
                  <c:v>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B-4D81-8C8B-912F7DD2B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520112"/>
        <c:axId val="1763518864"/>
      </c:barChart>
      <c:catAx>
        <c:axId val="176352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3518864"/>
        <c:crosses val="autoZero"/>
        <c:auto val="1"/>
        <c:lblAlgn val="ctr"/>
        <c:lblOffset val="100"/>
        <c:noMultiLvlLbl val="0"/>
      </c:catAx>
      <c:valAx>
        <c:axId val="1763518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352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Flux Service Client.xlsx]TCD1!Volume total par mois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'TCD1'!$A$4:$A$7</c:f>
              <c:strCache>
                <c:ptCount val="3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</c:strCache>
            </c:strRef>
          </c:cat>
          <c:val>
            <c:numRef>
              <c:f>'TCD1'!$B$4:$B$7</c:f>
              <c:numCache>
                <c:formatCode>General</c:formatCode>
                <c:ptCount val="3"/>
                <c:pt idx="0">
                  <c:v>12331</c:v>
                </c:pt>
                <c:pt idx="1">
                  <c:v>10897</c:v>
                </c:pt>
                <c:pt idx="2">
                  <c:v>10166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9-4E5F-861B-FBC90CF4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009568"/>
        <c:axId val="1847010400"/>
      </c:lineChart>
      <c:catAx>
        <c:axId val="184700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7010400"/>
        <c:crosses val="autoZero"/>
        <c:auto val="1"/>
        <c:lblAlgn val="ctr"/>
        <c:lblOffset val="100"/>
        <c:noMultiLvlLbl val="0"/>
      </c:catAx>
      <c:valAx>
        <c:axId val="184701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700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 des Flux Service Client.xlsx]TCD5!Moyenne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'TCD5'!$B$3</c:f>
              <c:strCache>
                <c:ptCount val="1"/>
                <c:pt idx="0">
                  <c:v>Temps moyen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'TCD5'!$A$4:$A$7</c:f>
              <c:strCache>
                <c:ptCount val="3"/>
                <c:pt idx="0">
                  <c:v>Chat</c:v>
                </c:pt>
                <c:pt idx="1">
                  <c:v>Email</c:v>
                </c:pt>
                <c:pt idx="2">
                  <c:v>Téléphone</c:v>
                </c:pt>
              </c:strCache>
            </c:strRef>
          </c:cat>
          <c:val>
            <c:numRef>
              <c:f>'TCD5'!$B$4:$B$7</c:f>
              <c:numCache>
                <c:formatCode>0</c:formatCode>
                <c:ptCount val="3"/>
                <c:pt idx="0">
                  <c:v>9.3571428571428577</c:v>
                </c:pt>
                <c:pt idx="1">
                  <c:v>10.023255813953488</c:v>
                </c:pt>
                <c:pt idx="2">
                  <c:v>9.764705882352942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6-4918-A82E-BAC4D8B10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3737616"/>
        <c:axId val="873745104"/>
      </c:barChart>
      <c:lineChart>
        <c:grouping val="standard"/>
        <c:varyColors val="0"/>
        <c:ser>
          <c:idx val="1"/>
          <c:order val="1"/>
          <c:tx>
            <c:strRef>
              <c:f>'TCD5'!$C$3</c:f>
              <c:strCache>
                <c:ptCount val="1"/>
                <c:pt idx="0">
                  <c:v>Taux de résolution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'TCD5'!$A$4:$A$7</c:f>
              <c:strCache>
                <c:ptCount val="3"/>
                <c:pt idx="0">
                  <c:v>Chat</c:v>
                </c:pt>
                <c:pt idx="1">
                  <c:v>Email</c:v>
                </c:pt>
                <c:pt idx="2">
                  <c:v>Téléphone</c:v>
                </c:pt>
              </c:strCache>
            </c:strRef>
          </c:cat>
          <c:val>
            <c:numRef>
              <c:f>'TCD5'!$C$4:$C$7</c:f>
              <c:numCache>
                <c:formatCode>0%</c:formatCode>
                <c:ptCount val="3"/>
                <c:pt idx="0">
                  <c:v>0.81276785714285715</c:v>
                </c:pt>
                <c:pt idx="1">
                  <c:v>0.79744186046511623</c:v>
                </c:pt>
                <c:pt idx="2">
                  <c:v>0.77686274509803932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6-4918-A82E-BAC4D8B10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146784"/>
        <c:axId val="1772155104"/>
      </c:lineChart>
      <c:catAx>
        <c:axId val="87373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3745104"/>
        <c:crosses val="autoZero"/>
        <c:auto val="1"/>
        <c:lblAlgn val="ctr"/>
        <c:lblOffset val="100"/>
        <c:noMultiLvlLbl val="0"/>
      </c:catAx>
      <c:valAx>
        <c:axId val="873745104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3737616"/>
        <c:crosses val="autoZero"/>
        <c:crossBetween val="between"/>
      </c:valAx>
      <c:valAx>
        <c:axId val="17721551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146784"/>
        <c:crosses val="max"/>
        <c:crossBetween val="between"/>
      </c:valAx>
      <c:catAx>
        <c:axId val="1772146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2155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</xdr:colOff>
      <xdr:row>5</xdr:row>
      <xdr:rowOff>0</xdr:rowOff>
    </xdr:from>
    <xdr:to>
      <xdr:col>13</xdr:col>
      <xdr:colOff>755650</xdr:colOff>
      <xdr:row>7</xdr:row>
      <xdr:rowOff>152400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3F2D188-F89F-44FF-B8B1-4AA005F06157}"/>
            </a:ext>
          </a:extLst>
        </xdr:cNvPr>
        <xdr:cNvSpPr txBox="1"/>
      </xdr:nvSpPr>
      <xdr:spPr>
        <a:xfrm>
          <a:off x="8362950" y="920750"/>
          <a:ext cx="5245100" cy="5207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Comment évoluent les contacts abonnés et comment optimiser la performance du service client 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1</xdr:row>
      <xdr:rowOff>117475</xdr:rowOff>
    </xdr:from>
    <xdr:to>
      <xdr:col>9</xdr:col>
      <xdr:colOff>158750</xdr:colOff>
      <xdr:row>13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E73FBEA-A3AD-43DD-B09E-DE9F2052A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688975</xdr:colOff>
      <xdr:row>1</xdr:row>
      <xdr:rowOff>47625</xdr:rowOff>
    </xdr:from>
    <xdr:to>
      <xdr:col>9</xdr:col>
      <xdr:colOff>688975</xdr:colOff>
      <xdr:row>16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56A017-0745-40E1-9EB2-F06B621AE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530225</xdr:colOff>
      <xdr:row>1</xdr:row>
      <xdr:rowOff>73025</xdr:rowOff>
    </xdr:from>
    <xdr:to>
      <xdr:col>9</xdr:col>
      <xdr:colOff>530225</xdr:colOff>
      <xdr:row>16</xdr:row>
      <xdr:rowOff>53975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1B6007-576F-4A02-9A76-0620FCAA4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</xdr:row>
      <xdr:rowOff>38100</xdr:rowOff>
    </xdr:from>
    <xdr:to>
      <xdr:col>9</xdr:col>
      <xdr:colOff>400050</xdr:colOff>
      <xdr:row>17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6BACF9-52A8-41DB-A04B-73B18E6EB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404092</xdr:colOff>
      <xdr:row>0</xdr:row>
      <xdr:rowOff>86626</xdr:rowOff>
    </xdr:from>
    <xdr:to>
      <xdr:col>12</xdr:col>
      <xdr:colOff>244766</xdr:colOff>
      <xdr:row>3</xdr:row>
      <xdr:rowOff>11545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EB84C826-6D1C-4D41-A100-605D5A77B248}"/>
            </a:ext>
          </a:extLst>
        </xdr:cNvPr>
        <xdr:cNvSpPr txBox="1"/>
      </xdr:nvSpPr>
      <xdr:spPr>
        <a:xfrm>
          <a:off x="1835728" y="86626"/>
          <a:ext cx="7576129" cy="479101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2400" b="1">
              <a:solidFill>
                <a:schemeClr val="bg1"/>
              </a:solidFill>
            </a:rPr>
            <a:t>DASHBOARD – Analyse des Flux Service Client</a:t>
          </a:r>
        </a:p>
        <a:p>
          <a:pPr algn="ctr"/>
          <a:endParaRPr lang="fr-FR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254000</xdr:colOff>
      <xdr:row>9</xdr:row>
      <xdr:rowOff>124758</xdr:rowOff>
    </xdr:from>
    <xdr:to>
      <xdr:col>6</xdr:col>
      <xdr:colOff>357909</xdr:colOff>
      <xdr:row>21</xdr:row>
      <xdr:rowOff>80818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87B6F14-F8BC-4D90-82FD-47B93594A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519546</xdr:colOff>
      <xdr:row>9</xdr:row>
      <xdr:rowOff>109138</xdr:rowOff>
    </xdr:from>
    <xdr:to>
      <xdr:col>13</xdr:col>
      <xdr:colOff>182386</xdr:colOff>
      <xdr:row>21</xdr:row>
      <xdr:rowOff>150090</xdr:rowOff>
    </xdr:to>
    <xdr:graphicFrame macro="">
      <xdr:nvGraphicFramePr>
        <xdr:cNvPr id="4" name="Graphique 2">
          <a:extLst>
            <a:ext uri="{FF2B5EF4-FFF2-40B4-BE49-F238E27FC236}">
              <a16:creationId xmlns:a16="http://schemas.microsoft.com/office/drawing/2014/main" id="{18D1E1B7-1F23-445D-91E9-1EAAE0D64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78069</xdr:colOff>
      <xdr:row>24</xdr:row>
      <xdr:rowOff>165100</xdr:rowOff>
    </xdr:from>
    <xdr:to>
      <xdr:col>6</xdr:col>
      <xdr:colOff>323274</xdr:colOff>
      <xdr:row>36</xdr:row>
      <xdr:rowOff>127001</xdr:rowOff>
    </xdr:to>
    <xdr:graphicFrame macro="">
      <xdr:nvGraphicFramePr>
        <xdr:cNvPr id="5" name="Graphique 2">
          <a:extLst>
            <a:ext uri="{FF2B5EF4-FFF2-40B4-BE49-F238E27FC236}">
              <a16:creationId xmlns:a16="http://schemas.microsoft.com/office/drawing/2014/main" id="{6BE088C2-2292-4B67-877B-54A8474D7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759477</xdr:colOff>
      <xdr:row>4</xdr:row>
      <xdr:rowOff>19993</xdr:rowOff>
    </xdr:from>
    <xdr:to>
      <xdr:col>14</xdr:col>
      <xdr:colOff>582424</xdr:colOff>
      <xdr:row>7</xdr:row>
      <xdr:rowOff>142808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nal">
              <a:extLst>
                <a:ext uri="{FF2B5EF4-FFF2-40B4-BE49-F238E27FC236}">
                  <a16:creationId xmlns:a16="http://schemas.microsoft.com/office/drawing/2014/main" id="{C245A1A8-676C-4160-9297-481B417BD5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2841" y="758902"/>
              <a:ext cx="1346947" cy="1127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646750</xdr:colOff>
      <xdr:row>3</xdr:row>
      <xdr:rowOff>164056</xdr:rowOff>
    </xdr:from>
    <xdr:to>
      <xdr:col>16</xdr:col>
      <xdr:colOff>666173</xdr:colOff>
      <xdr:row>8</xdr:row>
      <xdr:rowOff>206132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otif_contact">
              <a:extLst>
                <a:ext uri="{FF2B5EF4-FFF2-40B4-BE49-F238E27FC236}">
                  <a16:creationId xmlns:a16="http://schemas.microsoft.com/office/drawing/2014/main" id="{4C5442C9-D14D-413E-A43C-DCC84CF60C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tif_cont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34114" y="718238"/>
              <a:ext cx="1543423" cy="1415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7</xdr:col>
      <xdr:colOff>542636</xdr:colOff>
      <xdr:row>24</xdr:row>
      <xdr:rowOff>161637</xdr:rowOff>
    </xdr:from>
    <xdr:to>
      <xdr:col>13</xdr:col>
      <xdr:colOff>225136</xdr:colOff>
      <xdr:row>36</xdr:row>
      <xdr:rowOff>138546</xdr:rowOff>
    </xdr:to>
    <xdr:graphicFrame macro="">
      <xdr:nvGraphicFramePr>
        <xdr:cNvPr id="10" name="Graphique 2">
          <a:extLst>
            <a:ext uri="{FF2B5EF4-FFF2-40B4-BE49-F238E27FC236}">
              <a16:creationId xmlns:a16="http://schemas.microsoft.com/office/drawing/2014/main" id="{2D9E9FFC-89BE-4E0F-B9B5-816EDA6B7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680605</xdr:colOff>
      <xdr:row>23</xdr:row>
      <xdr:rowOff>2310</xdr:rowOff>
    </xdr:from>
    <xdr:to>
      <xdr:col>12</xdr:col>
      <xdr:colOff>646546</xdr:colOff>
      <xdr:row>24</xdr:row>
      <xdr:rowOff>80818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B2AF4787-8F6D-4D6E-B65C-5916C1D94294}"/>
            </a:ext>
          </a:extLst>
        </xdr:cNvPr>
        <xdr:cNvSpPr txBox="1"/>
      </xdr:nvSpPr>
      <xdr:spPr>
        <a:xfrm>
          <a:off x="6164696" y="4747492"/>
          <a:ext cx="3845214" cy="30941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Temps moyen et taux de résoltution par canal</a:t>
          </a:r>
        </a:p>
      </xdr:txBody>
    </xdr:sp>
    <xdr:clientData/>
  </xdr:twoCellAnchor>
  <xdr:twoCellAnchor>
    <xdr:from>
      <xdr:col>1</xdr:col>
      <xdr:colOff>552450</xdr:colOff>
      <xdr:row>22</xdr:row>
      <xdr:rowOff>171450</xdr:rowOff>
    </xdr:from>
    <xdr:to>
      <xdr:col>5</xdr:col>
      <xdr:colOff>457200</xdr:colOff>
      <xdr:row>24</xdr:row>
      <xdr:rowOff>76200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C04AF9D1-3ABF-464D-A6DB-0196F41E6697}"/>
            </a:ext>
          </a:extLst>
        </xdr:cNvPr>
        <xdr:cNvSpPr txBox="1"/>
      </xdr:nvSpPr>
      <xdr:spPr>
        <a:xfrm>
          <a:off x="1219200" y="4502150"/>
          <a:ext cx="2952750" cy="3238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Evolution mensuelle des contacts</a:t>
          </a:r>
        </a:p>
      </xdr:txBody>
    </xdr:sp>
    <xdr:clientData/>
  </xdr:twoCellAnchor>
  <xdr:twoCellAnchor>
    <xdr:from>
      <xdr:col>2</xdr:col>
      <xdr:colOff>178377</xdr:colOff>
      <xdr:row>7</xdr:row>
      <xdr:rowOff>139700</xdr:rowOff>
    </xdr:from>
    <xdr:to>
      <xdr:col>5</xdr:col>
      <xdr:colOff>413327</xdr:colOff>
      <xdr:row>9</xdr:row>
      <xdr:rowOff>25400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483CAC95-69B3-4268-8832-8E8E5A49DD5A}"/>
            </a:ext>
          </a:extLst>
        </xdr:cNvPr>
        <xdr:cNvSpPr txBox="1"/>
      </xdr:nvSpPr>
      <xdr:spPr>
        <a:xfrm>
          <a:off x="1610013" y="1652155"/>
          <a:ext cx="2520950" cy="30133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Volume des contacts par canal</a:t>
          </a:r>
        </a:p>
      </xdr:txBody>
    </xdr:sp>
    <xdr:clientData/>
  </xdr:twoCellAnchor>
  <xdr:twoCellAnchor>
    <xdr:from>
      <xdr:col>8</xdr:col>
      <xdr:colOff>352714</xdr:colOff>
      <xdr:row>7</xdr:row>
      <xdr:rowOff>139701</xdr:rowOff>
    </xdr:from>
    <xdr:to>
      <xdr:col>11</xdr:col>
      <xdr:colOff>524164</xdr:colOff>
      <xdr:row>9</xdr:row>
      <xdr:rowOff>25401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9BF5409F-9BA7-4845-8FD9-7AD0A9D6E8F2}"/>
            </a:ext>
          </a:extLst>
        </xdr:cNvPr>
        <xdr:cNvSpPr txBox="1"/>
      </xdr:nvSpPr>
      <xdr:spPr>
        <a:xfrm>
          <a:off x="6598805" y="1883065"/>
          <a:ext cx="2526723" cy="30133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Volume des contacts par motif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2.608133217589" createdVersion="7" refreshedVersion="7" minRefreshableVersion="3" recordCount="300" xr:uid="{CDB4AF11-58F7-4CDC-B10B-37879364599F}">
  <cacheSource type="worksheet">
    <worksheetSource name="MOCK_DATA"/>
  </cacheSource>
  <cacheFields count="7">
    <cacheField name="Date" numFmtId="14">
      <sharedItems containsSemiMixedTypes="0" containsNonDate="0" containsDate="1" containsString="0" minDate="2025-01-01T00:00:00" maxDate="2025-03-30T00:00:00" count="84">
        <d v="2025-02-14T00:00:00"/>
        <d v="2025-02-06T00:00:00"/>
        <d v="2025-02-27T00:00:00"/>
        <d v="2025-03-24T00:00:00"/>
        <d v="2025-03-15T00:00:00"/>
        <d v="2025-02-26T00:00:00"/>
        <d v="2025-02-07T00:00:00"/>
        <d v="2025-02-10T00:00:00"/>
        <d v="2025-03-20T00:00:00"/>
        <d v="2025-02-13T00:00:00"/>
        <d v="2025-02-04T00:00:00"/>
        <d v="2025-01-10T00:00:00"/>
        <d v="2025-01-26T00:00:00"/>
        <d v="2025-01-23T00:00:00"/>
        <d v="2025-01-28T00:00:00"/>
        <d v="2025-02-08T00:00:00"/>
        <d v="2025-02-28T00:00:00"/>
        <d v="2025-01-19T00:00:00"/>
        <d v="2025-01-09T00:00:00"/>
        <d v="2025-02-18T00:00:00"/>
        <d v="2025-02-03T00:00:00"/>
        <d v="2025-02-24T00:00:00"/>
        <d v="2025-01-15T00:00:00"/>
        <d v="2025-02-05T00:00:00"/>
        <d v="2025-02-12T00:00:00"/>
        <d v="2025-01-04T00:00:00"/>
        <d v="2025-03-01T00:00:00"/>
        <d v="2025-01-13T00:00:00"/>
        <d v="2025-03-14T00:00:00"/>
        <d v="2025-02-02T00:00:00"/>
        <d v="2025-03-16T00:00:00"/>
        <d v="2025-03-11T00:00:00"/>
        <d v="2025-03-04T00:00:00"/>
        <d v="2025-03-18T00:00:00"/>
        <d v="2025-03-28T00:00:00"/>
        <d v="2025-03-25T00:00:00"/>
        <d v="2025-03-13T00:00:00"/>
        <d v="2025-01-18T00:00:00"/>
        <d v="2025-02-16T00:00:00"/>
        <d v="2025-01-11T00:00:00"/>
        <d v="2025-01-21T00:00:00"/>
        <d v="2025-03-10T00:00:00"/>
        <d v="2025-02-19T00:00:00"/>
        <d v="2025-02-21T00:00:00"/>
        <d v="2025-02-01T00:00:00"/>
        <d v="2025-03-06T00:00:00"/>
        <d v="2025-01-30T00:00:00"/>
        <d v="2025-01-20T00:00:00"/>
        <d v="2025-01-14T00:00:00"/>
        <d v="2025-02-09T00:00:00"/>
        <d v="2025-02-20T00:00:00"/>
        <d v="2025-01-05T00:00:00"/>
        <d v="2025-03-27T00:00:00"/>
        <d v="2025-01-22T00:00:00"/>
        <d v="2025-01-02T00:00:00"/>
        <d v="2025-02-25T00:00:00"/>
        <d v="2025-01-16T00:00:00"/>
        <d v="2025-01-31T00:00:00"/>
        <d v="2025-03-23T00:00:00"/>
        <d v="2025-01-24T00:00:00"/>
        <d v="2025-02-11T00:00:00"/>
        <d v="2025-02-22T00:00:00"/>
        <d v="2025-03-17T00:00:00"/>
        <d v="2025-01-25T00:00:00"/>
        <d v="2025-01-01T00:00:00"/>
        <d v="2025-01-12T00:00:00"/>
        <d v="2025-03-08T00:00:00"/>
        <d v="2025-02-15T00:00:00"/>
        <d v="2025-03-21T00:00:00"/>
        <d v="2025-03-02T00:00:00"/>
        <d v="2025-03-05T00:00:00"/>
        <d v="2025-01-03T00:00:00"/>
        <d v="2025-02-17T00:00:00"/>
        <d v="2025-03-22T00:00:00"/>
        <d v="2025-01-27T00:00:00"/>
        <d v="2025-03-29T00:00:00"/>
        <d v="2025-03-26T00:00:00"/>
        <d v="2025-03-19T00:00:00"/>
        <d v="2025-02-23T00:00:00"/>
        <d v="2025-03-03T00:00:00"/>
        <d v="2025-01-07T00:00:00"/>
        <d v="2025-01-08T00:00:00"/>
        <d v="2025-03-07T00:00:00"/>
        <d v="2025-01-29T00:00:00"/>
      </sharedItems>
      <fieldGroup par="6" base="0">
        <rangePr groupBy="days" startDate="2025-01-01T00:00:00" endDate="2025-03-30T00:00:00"/>
        <groupItems count="368">
          <s v="&lt;01/01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30/03/2025"/>
        </groupItems>
      </fieldGroup>
    </cacheField>
    <cacheField name="Canal" numFmtId="0">
      <sharedItems count="3">
        <s v="Chat"/>
        <s v="Téléphone"/>
        <s v="Email"/>
      </sharedItems>
    </cacheField>
    <cacheField name="Motif_contact" numFmtId="0">
      <sharedItems count="4">
        <s v="Technique"/>
        <s v="Information"/>
        <s v="Résiliation"/>
        <s v="Facturation"/>
      </sharedItems>
    </cacheField>
    <cacheField name="Nb_contacts" numFmtId="0">
      <sharedItems containsSemiMixedTypes="0" containsString="0" containsNumber="1" containsInteger="1" minValue="10" maxValue="200"/>
    </cacheField>
    <cacheField name="Temps_moyen_traitement" numFmtId="0">
      <sharedItems containsSemiMixedTypes="0" containsString="0" containsNumber="1" containsInteger="1" minValue="4" maxValue="15"/>
    </cacheField>
    <cacheField name="Taux_resolution" numFmtId="9">
      <sharedItems containsSemiMixedTypes="0" containsString="0" containsNumber="1" minValue="0.65" maxValue="0.95"/>
    </cacheField>
    <cacheField name="Mois" numFmtId="0" databaseField="0">
      <fieldGroup base="0">
        <rangePr groupBy="months" startDate="2025-01-01T00:00:00" endDate="2025-03-30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0/03/2025"/>
        </groupItems>
      </fieldGroup>
    </cacheField>
  </cacheFields>
  <extLst>
    <ext xmlns:x14="http://schemas.microsoft.com/office/spreadsheetml/2009/9/main" uri="{725AE2AE-9491-48be-B2B4-4EB974FC3084}">
      <x14:pivotCacheDefinition pivotCacheId="15287353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153"/>
    <n v="15"/>
    <n v="0.85"/>
  </r>
  <r>
    <x v="1"/>
    <x v="1"/>
    <x v="1"/>
    <n v="134"/>
    <n v="14"/>
    <n v="0.68"/>
  </r>
  <r>
    <x v="2"/>
    <x v="0"/>
    <x v="2"/>
    <n v="141"/>
    <n v="11"/>
    <n v="0.72"/>
  </r>
  <r>
    <x v="3"/>
    <x v="1"/>
    <x v="3"/>
    <n v="189"/>
    <n v="4"/>
    <n v="0.76"/>
  </r>
  <r>
    <x v="4"/>
    <x v="0"/>
    <x v="0"/>
    <n v="159"/>
    <n v="12"/>
    <n v="0.92"/>
  </r>
  <r>
    <x v="5"/>
    <x v="2"/>
    <x v="1"/>
    <n v="192"/>
    <n v="4"/>
    <n v="0.93"/>
  </r>
  <r>
    <x v="6"/>
    <x v="2"/>
    <x v="0"/>
    <n v="111"/>
    <n v="15"/>
    <n v="0.72"/>
  </r>
  <r>
    <x v="7"/>
    <x v="2"/>
    <x v="2"/>
    <n v="121"/>
    <n v="15"/>
    <n v="0.94"/>
  </r>
  <r>
    <x v="8"/>
    <x v="2"/>
    <x v="1"/>
    <n v="89"/>
    <n v="14"/>
    <n v="0.9"/>
  </r>
  <r>
    <x v="9"/>
    <x v="0"/>
    <x v="1"/>
    <n v="81"/>
    <n v="8"/>
    <n v="0.77"/>
  </r>
  <r>
    <x v="10"/>
    <x v="2"/>
    <x v="3"/>
    <n v="53"/>
    <n v="15"/>
    <n v="0.7"/>
  </r>
  <r>
    <x v="11"/>
    <x v="2"/>
    <x v="0"/>
    <n v="47"/>
    <n v="9"/>
    <n v="0.92"/>
  </r>
  <r>
    <x v="12"/>
    <x v="1"/>
    <x v="1"/>
    <n v="62"/>
    <n v="10"/>
    <n v="0.72"/>
  </r>
  <r>
    <x v="13"/>
    <x v="0"/>
    <x v="1"/>
    <n v="57"/>
    <n v="15"/>
    <n v="0.75"/>
  </r>
  <r>
    <x v="14"/>
    <x v="0"/>
    <x v="1"/>
    <n v="147"/>
    <n v="13"/>
    <n v="0.94"/>
  </r>
  <r>
    <x v="15"/>
    <x v="0"/>
    <x v="2"/>
    <n v="138"/>
    <n v="7"/>
    <n v="0.87"/>
  </r>
  <r>
    <x v="16"/>
    <x v="2"/>
    <x v="0"/>
    <n v="75"/>
    <n v="14"/>
    <n v="0.84"/>
  </r>
  <r>
    <x v="17"/>
    <x v="1"/>
    <x v="3"/>
    <n v="181"/>
    <n v="11"/>
    <n v="0.89"/>
  </r>
  <r>
    <x v="18"/>
    <x v="1"/>
    <x v="0"/>
    <n v="91"/>
    <n v="10"/>
    <n v="0.66"/>
  </r>
  <r>
    <x v="19"/>
    <x v="0"/>
    <x v="1"/>
    <n v="76"/>
    <n v="10"/>
    <n v="0.9"/>
  </r>
  <r>
    <x v="0"/>
    <x v="2"/>
    <x v="0"/>
    <n v="128"/>
    <n v="9"/>
    <n v="0.76"/>
  </r>
  <r>
    <x v="20"/>
    <x v="1"/>
    <x v="1"/>
    <n v="159"/>
    <n v="14"/>
    <n v="0.72"/>
  </r>
  <r>
    <x v="21"/>
    <x v="1"/>
    <x v="1"/>
    <n v="189"/>
    <n v="6"/>
    <n v="0.73"/>
  </r>
  <r>
    <x v="22"/>
    <x v="1"/>
    <x v="0"/>
    <n v="196"/>
    <n v="4"/>
    <n v="0.7"/>
  </r>
  <r>
    <x v="23"/>
    <x v="0"/>
    <x v="1"/>
    <n v="190"/>
    <n v="14"/>
    <n v="0.78"/>
  </r>
  <r>
    <x v="24"/>
    <x v="2"/>
    <x v="0"/>
    <n v="113"/>
    <n v="8"/>
    <n v="0.9"/>
  </r>
  <r>
    <x v="25"/>
    <x v="0"/>
    <x v="0"/>
    <n v="53"/>
    <n v="13"/>
    <n v="0.94"/>
  </r>
  <r>
    <x v="26"/>
    <x v="2"/>
    <x v="1"/>
    <n v="52"/>
    <n v="5"/>
    <n v="0.73"/>
  </r>
  <r>
    <x v="26"/>
    <x v="0"/>
    <x v="1"/>
    <n v="164"/>
    <n v="8"/>
    <n v="0.93"/>
  </r>
  <r>
    <x v="27"/>
    <x v="2"/>
    <x v="1"/>
    <n v="12"/>
    <n v="5"/>
    <n v="0.7"/>
  </r>
  <r>
    <x v="28"/>
    <x v="2"/>
    <x v="0"/>
    <n v="109"/>
    <n v="15"/>
    <n v="0.77"/>
  </r>
  <r>
    <x v="8"/>
    <x v="1"/>
    <x v="1"/>
    <n v="48"/>
    <n v="14"/>
    <n v="0.71"/>
  </r>
  <r>
    <x v="14"/>
    <x v="0"/>
    <x v="1"/>
    <n v="160"/>
    <n v="13"/>
    <n v="0.82"/>
  </r>
  <r>
    <x v="29"/>
    <x v="1"/>
    <x v="3"/>
    <n v="198"/>
    <n v="8"/>
    <n v="0.82"/>
  </r>
  <r>
    <x v="30"/>
    <x v="1"/>
    <x v="1"/>
    <n v="197"/>
    <n v="5"/>
    <n v="0.92"/>
  </r>
  <r>
    <x v="31"/>
    <x v="0"/>
    <x v="1"/>
    <n v="122"/>
    <n v="12"/>
    <n v="0.78"/>
  </r>
  <r>
    <x v="32"/>
    <x v="1"/>
    <x v="0"/>
    <n v="166"/>
    <n v="5"/>
    <n v="0.89"/>
  </r>
  <r>
    <x v="0"/>
    <x v="1"/>
    <x v="2"/>
    <n v="28"/>
    <n v="6"/>
    <n v="0.68"/>
  </r>
  <r>
    <x v="33"/>
    <x v="0"/>
    <x v="3"/>
    <n v="131"/>
    <n v="7"/>
    <n v="0.84"/>
  </r>
  <r>
    <x v="34"/>
    <x v="0"/>
    <x v="1"/>
    <n v="144"/>
    <n v="9"/>
    <n v="0.8"/>
  </r>
  <r>
    <x v="35"/>
    <x v="1"/>
    <x v="2"/>
    <n v="26"/>
    <n v="4"/>
    <n v="0.77"/>
  </r>
  <r>
    <x v="36"/>
    <x v="1"/>
    <x v="3"/>
    <n v="77"/>
    <n v="5"/>
    <n v="0.85"/>
  </r>
  <r>
    <x v="37"/>
    <x v="2"/>
    <x v="2"/>
    <n v="81"/>
    <n v="9"/>
    <n v="0.93"/>
  </r>
  <r>
    <x v="38"/>
    <x v="0"/>
    <x v="1"/>
    <n v="173"/>
    <n v="7"/>
    <n v="0.74"/>
  </r>
  <r>
    <x v="39"/>
    <x v="1"/>
    <x v="0"/>
    <n v="183"/>
    <n v="8"/>
    <n v="0.71"/>
  </r>
  <r>
    <x v="40"/>
    <x v="0"/>
    <x v="2"/>
    <n v="81"/>
    <n v="11"/>
    <n v="0.78"/>
  </r>
  <r>
    <x v="12"/>
    <x v="2"/>
    <x v="1"/>
    <n v="164"/>
    <n v="10"/>
    <n v="0.77"/>
  </r>
  <r>
    <x v="41"/>
    <x v="0"/>
    <x v="0"/>
    <n v="44"/>
    <n v="6"/>
    <n v="0.76"/>
  </r>
  <r>
    <x v="2"/>
    <x v="0"/>
    <x v="1"/>
    <n v="104"/>
    <n v="8"/>
    <n v="0.9"/>
  </r>
  <r>
    <x v="41"/>
    <x v="2"/>
    <x v="2"/>
    <n v="72"/>
    <n v="6"/>
    <n v="0.74"/>
  </r>
  <r>
    <x v="14"/>
    <x v="2"/>
    <x v="3"/>
    <n v="140"/>
    <n v="11"/>
    <n v="0.75"/>
  </r>
  <r>
    <x v="42"/>
    <x v="1"/>
    <x v="2"/>
    <n v="70"/>
    <n v="7"/>
    <n v="0.8"/>
  </r>
  <r>
    <x v="16"/>
    <x v="2"/>
    <x v="2"/>
    <n v="194"/>
    <n v="8"/>
    <n v="0.69"/>
  </r>
  <r>
    <x v="43"/>
    <x v="1"/>
    <x v="1"/>
    <n v="131"/>
    <n v="14"/>
    <n v="0.71"/>
  </r>
  <r>
    <x v="37"/>
    <x v="2"/>
    <x v="1"/>
    <n v="39"/>
    <n v="11"/>
    <n v="0.65"/>
  </r>
  <r>
    <x v="36"/>
    <x v="2"/>
    <x v="2"/>
    <n v="134"/>
    <n v="9"/>
    <n v="0.95"/>
  </r>
  <r>
    <x v="44"/>
    <x v="1"/>
    <x v="3"/>
    <n v="107"/>
    <n v="15"/>
    <n v="0.95"/>
  </r>
  <r>
    <x v="45"/>
    <x v="1"/>
    <x v="0"/>
    <n v="151"/>
    <n v="6"/>
    <n v="0.69"/>
  </r>
  <r>
    <x v="31"/>
    <x v="2"/>
    <x v="2"/>
    <n v="181"/>
    <n v="12"/>
    <n v="0.88"/>
  </r>
  <r>
    <x v="46"/>
    <x v="1"/>
    <x v="2"/>
    <n v="149"/>
    <n v="12"/>
    <n v="0.87"/>
  </r>
  <r>
    <x v="19"/>
    <x v="1"/>
    <x v="2"/>
    <n v="170"/>
    <n v="6"/>
    <n v="0.94"/>
  </r>
  <r>
    <x v="47"/>
    <x v="1"/>
    <x v="1"/>
    <n v="13"/>
    <n v="8"/>
    <n v="0.9"/>
  </r>
  <r>
    <x v="37"/>
    <x v="1"/>
    <x v="1"/>
    <n v="110"/>
    <n v="7"/>
    <n v="0.74"/>
  </r>
  <r>
    <x v="48"/>
    <x v="0"/>
    <x v="1"/>
    <n v="150"/>
    <n v="9"/>
    <n v="0.89"/>
  </r>
  <r>
    <x v="49"/>
    <x v="2"/>
    <x v="1"/>
    <n v="106"/>
    <n v="14"/>
    <n v="0.82"/>
  </r>
  <r>
    <x v="50"/>
    <x v="1"/>
    <x v="3"/>
    <n v="153"/>
    <n v="15"/>
    <n v="0.8"/>
  </r>
  <r>
    <x v="33"/>
    <x v="0"/>
    <x v="0"/>
    <n v="186"/>
    <n v="15"/>
    <n v="0.83"/>
  </r>
  <r>
    <x v="1"/>
    <x v="1"/>
    <x v="1"/>
    <n v="50"/>
    <n v="13"/>
    <n v="0.69"/>
  </r>
  <r>
    <x v="45"/>
    <x v="2"/>
    <x v="0"/>
    <n v="80"/>
    <n v="5"/>
    <n v="0.67"/>
  </r>
  <r>
    <x v="16"/>
    <x v="1"/>
    <x v="2"/>
    <n v="18"/>
    <n v="5"/>
    <n v="0.93"/>
  </r>
  <r>
    <x v="51"/>
    <x v="0"/>
    <x v="1"/>
    <n v="61"/>
    <n v="11"/>
    <n v="0.7"/>
  </r>
  <r>
    <x v="39"/>
    <x v="2"/>
    <x v="0"/>
    <n v="87"/>
    <n v="10"/>
    <n v="0.95"/>
  </r>
  <r>
    <x v="19"/>
    <x v="2"/>
    <x v="2"/>
    <n v="194"/>
    <n v="9"/>
    <n v="0.9"/>
  </r>
  <r>
    <x v="52"/>
    <x v="2"/>
    <x v="1"/>
    <n v="79"/>
    <n v="8"/>
    <n v="0.81"/>
  </r>
  <r>
    <x v="53"/>
    <x v="2"/>
    <x v="0"/>
    <n v="11"/>
    <n v="15"/>
    <n v="0.8"/>
  </r>
  <r>
    <x v="54"/>
    <x v="0"/>
    <x v="3"/>
    <n v="163"/>
    <n v="14"/>
    <n v="0.89"/>
  </r>
  <r>
    <x v="55"/>
    <x v="0"/>
    <x v="3"/>
    <n v="99"/>
    <n v="8"/>
    <n v="0.79"/>
  </r>
  <r>
    <x v="40"/>
    <x v="0"/>
    <x v="0"/>
    <n v="24"/>
    <n v="4"/>
    <n v="0.69"/>
  </r>
  <r>
    <x v="16"/>
    <x v="0"/>
    <x v="0"/>
    <n v="198"/>
    <n v="8"/>
    <n v="0.85"/>
  </r>
  <r>
    <x v="27"/>
    <x v="2"/>
    <x v="1"/>
    <n v="136"/>
    <n v="4"/>
    <n v="0.92"/>
  </r>
  <r>
    <x v="56"/>
    <x v="0"/>
    <x v="1"/>
    <n v="10"/>
    <n v="10"/>
    <n v="0.68"/>
  </r>
  <r>
    <x v="17"/>
    <x v="1"/>
    <x v="1"/>
    <n v="145"/>
    <n v="10"/>
    <n v="0.67"/>
  </r>
  <r>
    <x v="35"/>
    <x v="2"/>
    <x v="0"/>
    <n v="29"/>
    <n v="7"/>
    <n v="0.68"/>
  </r>
  <r>
    <x v="42"/>
    <x v="1"/>
    <x v="0"/>
    <n v="74"/>
    <n v="7"/>
    <n v="0.69"/>
  </r>
  <r>
    <x v="39"/>
    <x v="2"/>
    <x v="0"/>
    <n v="29"/>
    <n v="14"/>
    <n v="0.89"/>
  </r>
  <r>
    <x v="36"/>
    <x v="1"/>
    <x v="0"/>
    <n v="87"/>
    <n v="8"/>
    <n v="0.79"/>
  </r>
  <r>
    <x v="57"/>
    <x v="0"/>
    <x v="0"/>
    <n v="13"/>
    <n v="4"/>
    <n v="0.67"/>
  </r>
  <r>
    <x v="45"/>
    <x v="1"/>
    <x v="0"/>
    <n v="137"/>
    <n v="9"/>
    <n v="0.78"/>
  </r>
  <r>
    <x v="26"/>
    <x v="1"/>
    <x v="3"/>
    <n v="11"/>
    <n v="9"/>
    <n v="0.81"/>
  </r>
  <r>
    <x v="36"/>
    <x v="2"/>
    <x v="2"/>
    <n v="33"/>
    <n v="6"/>
    <n v="0.91"/>
  </r>
  <r>
    <x v="3"/>
    <x v="2"/>
    <x v="3"/>
    <n v="97"/>
    <n v="10"/>
    <n v="0.67"/>
  </r>
  <r>
    <x v="30"/>
    <x v="2"/>
    <x v="3"/>
    <n v="171"/>
    <n v="14"/>
    <n v="0.75"/>
  </r>
  <r>
    <x v="58"/>
    <x v="0"/>
    <x v="3"/>
    <n v="134"/>
    <n v="15"/>
    <n v="0.68"/>
  </r>
  <r>
    <x v="43"/>
    <x v="2"/>
    <x v="1"/>
    <n v="137"/>
    <n v="14"/>
    <n v="0.85"/>
  </r>
  <r>
    <x v="57"/>
    <x v="0"/>
    <x v="3"/>
    <n v="54"/>
    <n v="10"/>
    <n v="0.65"/>
  </r>
  <r>
    <x v="26"/>
    <x v="2"/>
    <x v="2"/>
    <n v="80"/>
    <n v="12"/>
    <n v="0.94"/>
  </r>
  <r>
    <x v="23"/>
    <x v="0"/>
    <x v="2"/>
    <n v="128"/>
    <n v="11"/>
    <n v="0.9"/>
  </r>
  <r>
    <x v="28"/>
    <x v="2"/>
    <x v="3"/>
    <n v="191"/>
    <n v="15"/>
    <n v="0.92"/>
  </r>
  <r>
    <x v="59"/>
    <x v="0"/>
    <x v="0"/>
    <n v="189"/>
    <n v="14"/>
    <n v="0.92"/>
  </r>
  <r>
    <x v="50"/>
    <x v="2"/>
    <x v="1"/>
    <n v="141"/>
    <n v="8"/>
    <n v="0.93"/>
  </r>
  <r>
    <x v="16"/>
    <x v="1"/>
    <x v="2"/>
    <n v="13"/>
    <n v="14"/>
    <n v="0.9"/>
  </r>
  <r>
    <x v="42"/>
    <x v="1"/>
    <x v="2"/>
    <n v="50"/>
    <n v="11"/>
    <n v="0.91"/>
  </r>
  <r>
    <x v="18"/>
    <x v="1"/>
    <x v="2"/>
    <n v="143"/>
    <n v="8"/>
    <n v="0.67"/>
  </r>
  <r>
    <x v="39"/>
    <x v="2"/>
    <x v="1"/>
    <n v="68"/>
    <n v="6"/>
    <n v="0.93"/>
  </r>
  <r>
    <x v="14"/>
    <x v="2"/>
    <x v="3"/>
    <n v="120"/>
    <n v="12"/>
    <n v="0.91"/>
  </r>
  <r>
    <x v="44"/>
    <x v="1"/>
    <x v="3"/>
    <n v="191"/>
    <n v="4"/>
    <n v="0.73"/>
  </r>
  <r>
    <x v="17"/>
    <x v="0"/>
    <x v="3"/>
    <n v="157"/>
    <n v="7"/>
    <n v="0.82"/>
  </r>
  <r>
    <x v="60"/>
    <x v="1"/>
    <x v="1"/>
    <n v="122"/>
    <n v="15"/>
    <n v="0.65"/>
  </r>
  <r>
    <x v="17"/>
    <x v="0"/>
    <x v="0"/>
    <n v="140"/>
    <n v="10"/>
    <n v="0.77"/>
  </r>
  <r>
    <x v="61"/>
    <x v="1"/>
    <x v="2"/>
    <n v="153"/>
    <n v="15"/>
    <n v="0.66"/>
  </r>
  <r>
    <x v="15"/>
    <x v="0"/>
    <x v="2"/>
    <n v="106"/>
    <n v="11"/>
    <n v="0.83"/>
  </r>
  <r>
    <x v="41"/>
    <x v="0"/>
    <x v="3"/>
    <n v="144"/>
    <n v="11"/>
    <n v="0.83"/>
  </r>
  <r>
    <x v="9"/>
    <x v="0"/>
    <x v="2"/>
    <n v="112"/>
    <n v="11"/>
    <n v="0.68"/>
  </r>
  <r>
    <x v="62"/>
    <x v="2"/>
    <x v="2"/>
    <n v="77"/>
    <n v="6"/>
    <n v="0.79"/>
  </r>
  <r>
    <x v="45"/>
    <x v="1"/>
    <x v="2"/>
    <n v="85"/>
    <n v="15"/>
    <n v="0.79"/>
  </r>
  <r>
    <x v="28"/>
    <x v="1"/>
    <x v="2"/>
    <n v="161"/>
    <n v="14"/>
    <n v="0.69"/>
  </r>
  <r>
    <x v="39"/>
    <x v="1"/>
    <x v="0"/>
    <n v="162"/>
    <n v="9"/>
    <n v="0.75"/>
  </r>
  <r>
    <x v="11"/>
    <x v="1"/>
    <x v="0"/>
    <n v="125"/>
    <n v="14"/>
    <n v="0.85"/>
  </r>
  <r>
    <x v="21"/>
    <x v="0"/>
    <x v="1"/>
    <n v="30"/>
    <n v="9"/>
    <n v="0.81"/>
  </r>
  <r>
    <x v="17"/>
    <x v="2"/>
    <x v="1"/>
    <n v="41"/>
    <n v="8"/>
    <n v="0.82"/>
  </r>
  <r>
    <x v="63"/>
    <x v="0"/>
    <x v="3"/>
    <n v="182"/>
    <n v="5"/>
    <n v="0.65"/>
  </r>
  <r>
    <x v="48"/>
    <x v="0"/>
    <x v="3"/>
    <n v="169"/>
    <n v="12"/>
    <n v="0.85"/>
  </r>
  <r>
    <x v="45"/>
    <x v="2"/>
    <x v="1"/>
    <n v="194"/>
    <n v="9"/>
    <n v="0.77"/>
  </r>
  <r>
    <x v="14"/>
    <x v="0"/>
    <x v="0"/>
    <n v="132"/>
    <n v="5"/>
    <n v="0.8"/>
  </r>
  <r>
    <x v="28"/>
    <x v="1"/>
    <x v="0"/>
    <n v="183"/>
    <n v="4"/>
    <n v="0.77"/>
  </r>
  <r>
    <x v="57"/>
    <x v="1"/>
    <x v="0"/>
    <n v="50"/>
    <n v="5"/>
    <n v="0.66"/>
  </r>
  <r>
    <x v="47"/>
    <x v="0"/>
    <x v="3"/>
    <n v="106"/>
    <n v="8"/>
    <n v="0.84"/>
  </r>
  <r>
    <x v="34"/>
    <x v="2"/>
    <x v="2"/>
    <n v="154"/>
    <n v="14"/>
    <n v="0.73"/>
  </r>
  <r>
    <x v="34"/>
    <x v="0"/>
    <x v="1"/>
    <n v="61"/>
    <n v="6"/>
    <n v="0.85"/>
  </r>
  <r>
    <x v="64"/>
    <x v="2"/>
    <x v="0"/>
    <n v="120"/>
    <n v="13"/>
    <n v="0.86"/>
  </r>
  <r>
    <x v="18"/>
    <x v="0"/>
    <x v="2"/>
    <n v="72"/>
    <n v="8"/>
    <n v="0.93"/>
  </r>
  <r>
    <x v="65"/>
    <x v="2"/>
    <x v="0"/>
    <n v="101"/>
    <n v="11"/>
    <n v="0.66"/>
  </r>
  <r>
    <x v="49"/>
    <x v="2"/>
    <x v="1"/>
    <n v="150"/>
    <n v="15"/>
    <n v="0.79"/>
  </r>
  <r>
    <x v="51"/>
    <x v="0"/>
    <x v="3"/>
    <n v="117"/>
    <n v="10"/>
    <n v="0.95"/>
  </r>
  <r>
    <x v="15"/>
    <x v="0"/>
    <x v="3"/>
    <n v="164"/>
    <n v="15"/>
    <n v="0.85"/>
  </r>
  <r>
    <x v="0"/>
    <x v="2"/>
    <x v="3"/>
    <n v="25"/>
    <n v="6"/>
    <n v="0.88"/>
  </r>
  <r>
    <x v="66"/>
    <x v="0"/>
    <x v="0"/>
    <n v="56"/>
    <n v="10"/>
    <n v="0.84"/>
  </r>
  <r>
    <x v="48"/>
    <x v="2"/>
    <x v="0"/>
    <n v="134"/>
    <n v="8"/>
    <n v="0.95"/>
  </r>
  <r>
    <x v="53"/>
    <x v="1"/>
    <x v="1"/>
    <n v="33"/>
    <n v="10"/>
    <n v="0.82"/>
  </r>
  <r>
    <x v="62"/>
    <x v="2"/>
    <x v="1"/>
    <n v="170"/>
    <n v="6"/>
    <n v="0.77"/>
  </r>
  <r>
    <x v="27"/>
    <x v="1"/>
    <x v="3"/>
    <n v="97"/>
    <n v="11"/>
    <n v="0.89"/>
  </r>
  <r>
    <x v="60"/>
    <x v="2"/>
    <x v="2"/>
    <n v="141"/>
    <n v="11"/>
    <n v="0.83"/>
  </r>
  <r>
    <x v="43"/>
    <x v="1"/>
    <x v="1"/>
    <n v="171"/>
    <n v="12"/>
    <n v="0.88"/>
  </r>
  <r>
    <x v="64"/>
    <x v="0"/>
    <x v="2"/>
    <n v="112"/>
    <n v="4"/>
    <n v="0.87"/>
  </r>
  <r>
    <x v="66"/>
    <x v="1"/>
    <x v="2"/>
    <n v="18"/>
    <n v="9"/>
    <n v="0.92"/>
  </r>
  <r>
    <x v="14"/>
    <x v="2"/>
    <x v="3"/>
    <n v="128"/>
    <n v="9"/>
    <n v="0.71"/>
  </r>
  <r>
    <x v="35"/>
    <x v="0"/>
    <x v="1"/>
    <n v="56"/>
    <n v="7"/>
    <n v="0.77"/>
  </r>
  <r>
    <x v="44"/>
    <x v="1"/>
    <x v="1"/>
    <n v="64"/>
    <n v="4"/>
    <n v="0.88"/>
  </r>
  <r>
    <x v="67"/>
    <x v="2"/>
    <x v="3"/>
    <n v="80"/>
    <n v="7"/>
    <n v="0.79"/>
  </r>
  <r>
    <x v="68"/>
    <x v="0"/>
    <x v="1"/>
    <n v="181"/>
    <n v="12"/>
    <n v="0.65"/>
  </r>
  <r>
    <x v="28"/>
    <x v="1"/>
    <x v="2"/>
    <n v="185"/>
    <n v="6"/>
    <n v="0.72"/>
  </r>
  <r>
    <x v="64"/>
    <x v="1"/>
    <x v="3"/>
    <n v="40"/>
    <n v="9"/>
    <n v="0.8"/>
  </r>
  <r>
    <x v="22"/>
    <x v="2"/>
    <x v="0"/>
    <n v="17"/>
    <n v="6"/>
    <n v="0.94"/>
  </r>
  <r>
    <x v="59"/>
    <x v="1"/>
    <x v="2"/>
    <n v="36"/>
    <n v="5"/>
    <n v="0.71"/>
  </r>
  <r>
    <x v="14"/>
    <x v="0"/>
    <x v="3"/>
    <n v="137"/>
    <n v="8"/>
    <n v="0.91"/>
  </r>
  <r>
    <x v="69"/>
    <x v="1"/>
    <x v="3"/>
    <n v="58"/>
    <n v="15"/>
    <n v="0.8"/>
  </r>
  <r>
    <x v="26"/>
    <x v="0"/>
    <x v="0"/>
    <n v="192"/>
    <n v="11"/>
    <n v="0.78"/>
  </r>
  <r>
    <x v="3"/>
    <x v="0"/>
    <x v="0"/>
    <n v="141"/>
    <n v="14"/>
    <n v="0.7"/>
  </r>
  <r>
    <x v="19"/>
    <x v="2"/>
    <x v="2"/>
    <n v="133"/>
    <n v="7"/>
    <n v="0.66"/>
  </r>
  <r>
    <x v="48"/>
    <x v="0"/>
    <x v="1"/>
    <n v="164"/>
    <n v="6"/>
    <n v="0.94"/>
  </r>
  <r>
    <x v="29"/>
    <x v="1"/>
    <x v="3"/>
    <n v="57"/>
    <n v="10"/>
    <n v="0.9"/>
  </r>
  <r>
    <x v="55"/>
    <x v="2"/>
    <x v="2"/>
    <n v="189"/>
    <n v="8"/>
    <n v="0.82"/>
  </r>
  <r>
    <x v="33"/>
    <x v="2"/>
    <x v="3"/>
    <n v="74"/>
    <n v="15"/>
    <n v="0.69"/>
  </r>
  <r>
    <x v="33"/>
    <x v="0"/>
    <x v="1"/>
    <n v="105"/>
    <n v="8"/>
    <n v="0.67"/>
  </r>
  <r>
    <x v="25"/>
    <x v="0"/>
    <x v="1"/>
    <n v="129"/>
    <n v="8"/>
    <n v="0.65"/>
  </r>
  <r>
    <x v="40"/>
    <x v="0"/>
    <x v="3"/>
    <n v="32"/>
    <n v="4"/>
    <n v="0.93"/>
  </r>
  <r>
    <x v="42"/>
    <x v="1"/>
    <x v="3"/>
    <n v="134"/>
    <n v="10"/>
    <n v="0.89"/>
  </r>
  <r>
    <x v="42"/>
    <x v="0"/>
    <x v="0"/>
    <n v="106"/>
    <n v="12"/>
    <n v="0.76"/>
  </r>
  <r>
    <x v="60"/>
    <x v="1"/>
    <x v="2"/>
    <n v="161"/>
    <n v="7"/>
    <n v="0.68"/>
  </r>
  <r>
    <x v="52"/>
    <x v="0"/>
    <x v="1"/>
    <n v="174"/>
    <n v="4"/>
    <n v="0.83"/>
  </r>
  <r>
    <x v="21"/>
    <x v="0"/>
    <x v="3"/>
    <n v="36"/>
    <n v="4"/>
    <n v="0.81"/>
  </r>
  <r>
    <x v="70"/>
    <x v="1"/>
    <x v="2"/>
    <n v="180"/>
    <n v="4"/>
    <n v="0.77"/>
  </r>
  <r>
    <x v="31"/>
    <x v="2"/>
    <x v="3"/>
    <n v="15"/>
    <n v="4"/>
    <n v="0.68"/>
  </r>
  <r>
    <x v="2"/>
    <x v="0"/>
    <x v="2"/>
    <n v="40"/>
    <n v="4"/>
    <n v="0.74"/>
  </r>
  <r>
    <x v="58"/>
    <x v="0"/>
    <x v="3"/>
    <n v="174"/>
    <n v="10"/>
    <n v="0.91"/>
  </r>
  <r>
    <x v="23"/>
    <x v="0"/>
    <x v="3"/>
    <n v="183"/>
    <n v="15"/>
    <n v="0.92"/>
  </r>
  <r>
    <x v="46"/>
    <x v="0"/>
    <x v="1"/>
    <n v="106"/>
    <n v="10"/>
    <n v="0.93"/>
  </r>
  <r>
    <x v="61"/>
    <x v="0"/>
    <x v="0"/>
    <n v="14"/>
    <n v="14"/>
    <n v="0.68"/>
  </r>
  <r>
    <x v="21"/>
    <x v="1"/>
    <x v="3"/>
    <n v="149"/>
    <n v="13"/>
    <n v="0.73"/>
  </r>
  <r>
    <x v="52"/>
    <x v="0"/>
    <x v="2"/>
    <n v="149"/>
    <n v="12"/>
    <n v="0.9"/>
  </r>
  <r>
    <x v="1"/>
    <x v="2"/>
    <x v="3"/>
    <n v="157"/>
    <n v="11"/>
    <n v="0.75"/>
  </r>
  <r>
    <x v="17"/>
    <x v="1"/>
    <x v="2"/>
    <n v="81"/>
    <n v="11"/>
    <n v="0.7"/>
  </r>
  <r>
    <x v="29"/>
    <x v="2"/>
    <x v="1"/>
    <n v="94"/>
    <n v="14"/>
    <n v="0.71"/>
  </r>
  <r>
    <x v="71"/>
    <x v="0"/>
    <x v="0"/>
    <n v="138"/>
    <n v="5"/>
    <n v="0.78"/>
  </r>
  <r>
    <x v="42"/>
    <x v="0"/>
    <x v="0"/>
    <n v="127"/>
    <n v="13"/>
    <n v="0.76"/>
  </r>
  <r>
    <x v="72"/>
    <x v="2"/>
    <x v="1"/>
    <n v="57"/>
    <n v="14"/>
    <n v="0.7"/>
  </r>
  <r>
    <x v="58"/>
    <x v="2"/>
    <x v="2"/>
    <n v="145"/>
    <n v="8"/>
    <n v="0.87"/>
  </r>
  <r>
    <x v="14"/>
    <x v="2"/>
    <x v="2"/>
    <n v="148"/>
    <n v="11"/>
    <n v="0.84"/>
  </r>
  <r>
    <x v="73"/>
    <x v="0"/>
    <x v="1"/>
    <n v="131"/>
    <n v="4"/>
    <n v="0.83"/>
  </r>
  <r>
    <x v="48"/>
    <x v="0"/>
    <x v="0"/>
    <n v="150"/>
    <n v="8"/>
    <n v="0.94"/>
  </r>
  <r>
    <x v="10"/>
    <x v="0"/>
    <x v="0"/>
    <n v="94"/>
    <n v="6"/>
    <n v="0.95"/>
  </r>
  <r>
    <x v="51"/>
    <x v="1"/>
    <x v="1"/>
    <n v="26"/>
    <n v="11"/>
    <n v="0.65"/>
  </r>
  <r>
    <x v="56"/>
    <x v="0"/>
    <x v="0"/>
    <n v="195"/>
    <n v="12"/>
    <n v="0.72"/>
  </r>
  <r>
    <x v="33"/>
    <x v="1"/>
    <x v="1"/>
    <n v="99"/>
    <n v="12"/>
    <n v="0.92"/>
  </r>
  <r>
    <x v="18"/>
    <x v="1"/>
    <x v="1"/>
    <n v="106"/>
    <n v="15"/>
    <n v="0.72"/>
  </r>
  <r>
    <x v="56"/>
    <x v="0"/>
    <x v="1"/>
    <n v="106"/>
    <n v="14"/>
    <n v="0.94"/>
  </r>
  <r>
    <x v="27"/>
    <x v="2"/>
    <x v="1"/>
    <n v="200"/>
    <n v="7"/>
    <n v="0.91"/>
  </r>
  <r>
    <x v="11"/>
    <x v="1"/>
    <x v="2"/>
    <n v="30"/>
    <n v="7"/>
    <n v="0.77"/>
  </r>
  <r>
    <x v="49"/>
    <x v="1"/>
    <x v="1"/>
    <n v="53"/>
    <n v="13"/>
    <n v="0.68"/>
  </r>
  <r>
    <x v="60"/>
    <x v="1"/>
    <x v="3"/>
    <n v="113"/>
    <n v="11"/>
    <n v="0.74"/>
  </r>
  <r>
    <x v="32"/>
    <x v="1"/>
    <x v="1"/>
    <n v="194"/>
    <n v="8"/>
    <n v="0.72"/>
  </r>
  <r>
    <x v="15"/>
    <x v="0"/>
    <x v="1"/>
    <n v="14"/>
    <n v="12"/>
    <n v="0.89"/>
  </r>
  <r>
    <x v="40"/>
    <x v="0"/>
    <x v="1"/>
    <n v="53"/>
    <n v="4"/>
    <n v="0.95"/>
  </r>
  <r>
    <x v="49"/>
    <x v="2"/>
    <x v="0"/>
    <n v="199"/>
    <n v="12"/>
    <n v="0.66"/>
  </r>
  <r>
    <x v="19"/>
    <x v="2"/>
    <x v="0"/>
    <n v="77"/>
    <n v="14"/>
    <n v="0.72"/>
  </r>
  <r>
    <x v="14"/>
    <x v="0"/>
    <x v="1"/>
    <n v="168"/>
    <n v="10"/>
    <n v="0.84"/>
  </r>
  <r>
    <x v="74"/>
    <x v="1"/>
    <x v="3"/>
    <n v="164"/>
    <n v="4"/>
    <n v="0.74"/>
  </r>
  <r>
    <x v="16"/>
    <x v="1"/>
    <x v="1"/>
    <n v="68"/>
    <n v="14"/>
    <n v="0.9"/>
  </r>
  <r>
    <x v="47"/>
    <x v="1"/>
    <x v="2"/>
    <n v="129"/>
    <n v="6"/>
    <n v="0.66"/>
  </r>
  <r>
    <x v="75"/>
    <x v="2"/>
    <x v="3"/>
    <n v="123"/>
    <n v="12"/>
    <n v="0.91"/>
  </r>
  <r>
    <x v="26"/>
    <x v="1"/>
    <x v="3"/>
    <n v="131"/>
    <n v="10"/>
    <n v="0.67"/>
  </r>
  <r>
    <x v="56"/>
    <x v="2"/>
    <x v="0"/>
    <n v="176"/>
    <n v="5"/>
    <n v="0.75"/>
  </r>
  <r>
    <x v="52"/>
    <x v="1"/>
    <x v="3"/>
    <n v="10"/>
    <n v="14"/>
    <n v="0.75"/>
  </r>
  <r>
    <x v="74"/>
    <x v="1"/>
    <x v="3"/>
    <n v="186"/>
    <n v="5"/>
    <n v="0.88"/>
  </r>
  <r>
    <x v="49"/>
    <x v="2"/>
    <x v="1"/>
    <n v="151"/>
    <n v="15"/>
    <n v="0.7"/>
  </r>
  <r>
    <x v="69"/>
    <x v="1"/>
    <x v="0"/>
    <n v="200"/>
    <n v="7"/>
    <n v="0.65"/>
  </r>
  <r>
    <x v="55"/>
    <x v="2"/>
    <x v="1"/>
    <n v="52"/>
    <n v="7"/>
    <n v="0.73"/>
  </r>
  <r>
    <x v="74"/>
    <x v="2"/>
    <x v="2"/>
    <n v="137"/>
    <n v="6"/>
    <n v="0.68"/>
  </r>
  <r>
    <x v="11"/>
    <x v="0"/>
    <x v="0"/>
    <n v="131"/>
    <n v="6"/>
    <n v="0.9"/>
  </r>
  <r>
    <x v="43"/>
    <x v="0"/>
    <x v="0"/>
    <n v="88"/>
    <n v="11"/>
    <n v="0.88"/>
  </r>
  <r>
    <x v="20"/>
    <x v="2"/>
    <x v="2"/>
    <n v="108"/>
    <n v="11"/>
    <n v="0.67"/>
  </r>
  <r>
    <x v="76"/>
    <x v="2"/>
    <x v="0"/>
    <n v="78"/>
    <n v="7"/>
    <n v="0.88"/>
  </r>
  <r>
    <x v="7"/>
    <x v="1"/>
    <x v="0"/>
    <n v="116"/>
    <n v="11"/>
    <n v="0.81"/>
  </r>
  <r>
    <x v="64"/>
    <x v="2"/>
    <x v="0"/>
    <n v="122"/>
    <n v="12"/>
    <n v="0.74"/>
  </r>
  <r>
    <x v="7"/>
    <x v="2"/>
    <x v="0"/>
    <n v="125"/>
    <n v="4"/>
    <n v="0.65"/>
  </r>
  <r>
    <x v="62"/>
    <x v="2"/>
    <x v="0"/>
    <n v="113"/>
    <n v="15"/>
    <n v="0.82"/>
  </r>
  <r>
    <x v="2"/>
    <x v="1"/>
    <x v="0"/>
    <n v="189"/>
    <n v="14"/>
    <n v="0.66"/>
  </r>
  <r>
    <x v="62"/>
    <x v="1"/>
    <x v="3"/>
    <n v="10"/>
    <n v="14"/>
    <n v="0.9"/>
  </r>
  <r>
    <x v="31"/>
    <x v="1"/>
    <x v="3"/>
    <n v="31"/>
    <n v="8"/>
    <n v="0.81"/>
  </r>
  <r>
    <x v="11"/>
    <x v="0"/>
    <x v="3"/>
    <n v="73"/>
    <n v="8"/>
    <n v="0.93"/>
  </r>
  <r>
    <x v="35"/>
    <x v="1"/>
    <x v="0"/>
    <n v="22"/>
    <n v="6"/>
    <n v="0.74"/>
  </r>
  <r>
    <x v="39"/>
    <x v="0"/>
    <x v="1"/>
    <n v="18"/>
    <n v="5"/>
    <n v="0.73"/>
  </r>
  <r>
    <x v="71"/>
    <x v="0"/>
    <x v="0"/>
    <n v="196"/>
    <n v="12"/>
    <n v="0.67"/>
  </r>
  <r>
    <x v="77"/>
    <x v="1"/>
    <x v="2"/>
    <n v="111"/>
    <n v="12"/>
    <n v="0.83"/>
  </r>
  <r>
    <x v="25"/>
    <x v="1"/>
    <x v="0"/>
    <n v="142"/>
    <n v="10"/>
    <n v="0.9"/>
  </r>
  <r>
    <x v="40"/>
    <x v="2"/>
    <x v="1"/>
    <n v="83"/>
    <n v="13"/>
    <n v="0.9"/>
  </r>
  <r>
    <x v="21"/>
    <x v="2"/>
    <x v="1"/>
    <n v="148"/>
    <n v="15"/>
    <n v="0.89"/>
  </r>
  <r>
    <x v="22"/>
    <x v="2"/>
    <x v="3"/>
    <n v="161"/>
    <n v="15"/>
    <n v="0.82"/>
  </r>
  <r>
    <x v="27"/>
    <x v="0"/>
    <x v="1"/>
    <n v="146"/>
    <n v="10"/>
    <n v="0.77"/>
  </r>
  <r>
    <x v="65"/>
    <x v="0"/>
    <x v="1"/>
    <n v="32"/>
    <n v="9"/>
    <n v="0.91"/>
  </r>
  <r>
    <x v="64"/>
    <x v="0"/>
    <x v="2"/>
    <n v="11"/>
    <n v="12"/>
    <n v="0.87"/>
  </r>
  <r>
    <x v="43"/>
    <x v="1"/>
    <x v="1"/>
    <n v="81"/>
    <n v="15"/>
    <n v="0.78"/>
  </r>
  <r>
    <x v="57"/>
    <x v="0"/>
    <x v="3"/>
    <n v="96"/>
    <n v="12"/>
    <n v="0.85"/>
  </r>
  <r>
    <x v="8"/>
    <x v="1"/>
    <x v="2"/>
    <n v="11"/>
    <n v="13"/>
    <n v="0.67"/>
  </r>
  <r>
    <x v="78"/>
    <x v="2"/>
    <x v="3"/>
    <n v="81"/>
    <n v="12"/>
    <n v="0.82"/>
  </r>
  <r>
    <x v="9"/>
    <x v="0"/>
    <x v="3"/>
    <n v="171"/>
    <n v="4"/>
    <n v="0.65"/>
  </r>
  <r>
    <x v="11"/>
    <x v="0"/>
    <x v="1"/>
    <n v="148"/>
    <n v="5"/>
    <n v="0.76"/>
  </r>
  <r>
    <x v="15"/>
    <x v="0"/>
    <x v="1"/>
    <n v="45"/>
    <n v="12"/>
    <n v="0.92"/>
  </r>
  <r>
    <x v="17"/>
    <x v="0"/>
    <x v="1"/>
    <n v="54"/>
    <n v="10"/>
    <n v="0.94"/>
  </r>
  <r>
    <x v="20"/>
    <x v="0"/>
    <x v="2"/>
    <n v="107"/>
    <n v="8"/>
    <n v="0.76"/>
  </r>
  <r>
    <x v="30"/>
    <x v="1"/>
    <x v="1"/>
    <n v="107"/>
    <n v="8"/>
    <n v="0.78"/>
  </r>
  <r>
    <x v="65"/>
    <x v="2"/>
    <x v="2"/>
    <n v="148"/>
    <n v="7"/>
    <n v="0.65"/>
  </r>
  <r>
    <x v="51"/>
    <x v="0"/>
    <x v="1"/>
    <n v="107"/>
    <n v="7"/>
    <n v="0.85"/>
  </r>
  <r>
    <x v="40"/>
    <x v="0"/>
    <x v="2"/>
    <n v="47"/>
    <n v="5"/>
    <n v="0.78"/>
  </r>
  <r>
    <x v="12"/>
    <x v="0"/>
    <x v="0"/>
    <n v="180"/>
    <n v="5"/>
    <n v="0.95"/>
  </r>
  <r>
    <x v="73"/>
    <x v="0"/>
    <x v="2"/>
    <n v="194"/>
    <n v="14"/>
    <n v="0.8"/>
  </r>
  <r>
    <x v="0"/>
    <x v="0"/>
    <x v="3"/>
    <n v="70"/>
    <n v="9"/>
    <n v="0.86"/>
  </r>
  <r>
    <x v="47"/>
    <x v="1"/>
    <x v="2"/>
    <n v="173"/>
    <n v="6"/>
    <n v="0.65"/>
  </r>
  <r>
    <x v="15"/>
    <x v="1"/>
    <x v="0"/>
    <n v="161"/>
    <n v="11"/>
    <n v="0.66"/>
  </r>
  <r>
    <x v="50"/>
    <x v="0"/>
    <x v="2"/>
    <n v="122"/>
    <n v="8"/>
    <n v="0.76"/>
  </r>
  <r>
    <x v="24"/>
    <x v="2"/>
    <x v="2"/>
    <n v="180"/>
    <n v="12"/>
    <n v="0.69"/>
  </r>
  <r>
    <x v="37"/>
    <x v="0"/>
    <x v="3"/>
    <n v="12"/>
    <n v="7"/>
    <n v="0.88"/>
  </r>
  <r>
    <x v="21"/>
    <x v="1"/>
    <x v="0"/>
    <n v="59"/>
    <n v="14"/>
    <n v="0.89"/>
  </r>
  <r>
    <x v="66"/>
    <x v="2"/>
    <x v="1"/>
    <n v="169"/>
    <n v="5"/>
    <n v="0.66"/>
  </r>
  <r>
    <x v="1"/>
    <x v="0"/>
    <x v="0"/>
    <n v="23"/>
    <n v="15"/>
    <n v="0.86"/>
  </r>
  <r>
    <x v="34"/>
    <x v="0"/>
    <x v="2"/>
    <n v="182"/>
    <n v="15"/>
    <n v="0.78"/>
  </r>
  <r>
    <x v="8"/>
    <x v="1"/>
    <x v="1"/>
    <n v="198"/>
    <n v="12"/>
    <n v="0.81"/>
  </r>
  <r>
    <x v="79"/>
    <x v="0"/>
    <x v="2"/>
    <n v="165"/>
    <n v="8"/>
    <n v="0.69"/>
  </r>
  <r>
    <x v="15"/>
    <x v="1"/>
    <x v="2"/>
    <n v="85"/>
    <n v="12"/>
    <n v="0.82"/>
  </r>
  <r>
    <x v="80"/>
    <x v="1"/>
    <x v="1"/>
    <n v="109"/>
    <n v="15"/>
    <n v="0.8"/>
  </r>
  <r>
    <x v="25"/>
    <x v="2"/>
    <x v="3"/>
    <n v="175"/>
    <n v="14"/>
    <n v="0.79"/>
  </r>
  <r>
    <x v="21"/>
    <x v="0"/>
    <x v="0"/>
    <n v="62"/>
    <n v="11"/>
    <n v="0.69"/>
  </r>
  <r>
    <x v="30"/>
    <x v="1"/>
    <x v="1"/>
    <n v="97"/>
    <n v="6"/>
    <n v="0.77"/>
  </r>
  <r>
    <x v="26"/>
    <x v="0"/>
    <x v="0"/>
    <n v="70"/>
    <n v="6"/>
    <n v="0.88"/>
  </r>
  <r>
    <x v="65"/>
    <x v="2"/>
    <x v="0"/>
    <n v="189"/>
    <n v="10"/>
    <n v="0.94"/>
  </r>
  <r>
    <x v="78"/>
    <x v="0"/>
    <x v="1"/>
    <n v="103"/>
    <n v="9"/>
    <n v="0.66"/>
  </r>
  <r>
    <x v="61"/>
    <x v="1"/>
    <x v="1"/>
    <n v="147"/>
    <n v="11"/>
    <n v="0.85"/>
  </r>
  <r>
    <x v="12"/>
    <x v="0"/>
    <x v="2"/>
    <n v="178"/>
    <n v="14"/>
    <n v="0.76"/>
  </r>
  <r>
    <x v="17"/>
    <x v="1"/>
    <x v="0"/>
    <n v="69"/>
    <n v="15"/>
    <n v="0.89"/>
  </r>
  <r>
    <x v="81"/>
    <x v="0"/>
    <x v="0"/>
    <n v="131"/>
    <n v="13"/>
    <n v="0.87"/>
  </r>
  <r>
    <x v="80"/>
    <x v="0"/>
    <x v="3"/>
    <n v="26"/>
    <n v="7"/>
    <n v="0.79"/>
  </r>
  <r>
    <x v="70"/>
    <x v="2"/>
    <x v="0"/>
    <n v="51"/>
    <n v="7"/>
    <n v="0.68"/>
  </r>
  <r>
    <x v="24"/>
    <x v="1"/>
    <x v="3"/>
    <n v="18"/>
    <n v="15"/>
    <n v="0.67"/>
  </r>
  <r>
    <x v="69"/>
    <x v="1"/>
    <x v="1"/>
    <n v="193"/>
    <n v="12"/>
    <n v="0.65"/>
  </r>
  <r>
    <x v="68"/>
    <x v="1"/>
    <x v="2"/>
    <n v="153"/>
    <n v="9"/>
    <n v="0.9"/>
  </r>
  <r>
    <x v="48"/>
    <x v="0"/>
    <x v="2"/>
    <n v="132"/>
    <n v="8"/>
    <n v="0.71"/>
  </r>
  <r>
    <x v="82"/>
    <x v="2"/>
    <x v="0"/>
    <n v="61"/>
    <n v="6"/>
    <n v="0.8"/>
  </r>
  <r>
    <x v="47"/>
    <x v="1"/>
    <x v="3"/>
    <n v="119"/>
    <n v="4"/>
    <n v="0.75"/>
  </r>
  <r>
    <x v="62"/>
    <x v="1"/>
    <x v="1"/>
    <n v="144"/>
    <n v="12"/>
    <n v="0.75"/>
  </r>
  <r>
    <x v="24"/>
    <x v="1"/>
    <x v="0"/>
    <n v="51"/>
    <n v="12"/>
    <n v="0.68"/>
  </r>
  <r>
    <x v="41"/>
    <x v="0"/>
    <x v="3"/>
    <n v="174"/>
    <n v="8"/>
    <n v="0.8"/>
  </r>
  <r>
    <x v="76"/>
    <x v="0"/>
    <x v="2"/>
    <n v="146"/>
    <n v="5"/>
    <n v="0.68"/>
  </r>
  <r>
    <x v="81"/>
    <x v="0"/>
    <x v="0"/>
    <n v="124"/>
    <n v="7"/>
    <n v="0.74"/>
  </r>
  <r>
    <x v="64"/>
    <x v="1"/>
    <x v="2"/>
    <n v="59"/>
    <n v="13"/>
    <n v="0.75"/>
  </r>
  <r>
    <x v="28"/>
    <x v="2"/>
    <x v="0"/>
    <n v="96"/>
    <n v="11"/>
    <n v="0.69"/>
  </r>
  <r>
    <x v="59"/>
    <x v="0"/>
    <x v="3"/>
    <n v="137"/>
    <n v="6"/>
    <n v="0.83"/>
  </r>
  <r>
    <x v="65"/>
    <x v="1"/>
    <x v="0"/>
    <n v="27"/>
    <n v="10"/>
    <n v="0.77"/>
  </r>
  <r>
    <x v="83"/>
    <x v="1"/>
    <x v="2"/>
    <n v="120"/>
    <n v="6"/>
    <n v="0.92"/>
  </r>
  <r>
    <x v="57"/>
    <x v="1"/>
    <x v="1"/>
    <n v="141"/>
    <n v="10"/>
    <n v="0.84"/>
  </r>
  <r>
    <x v="54"/>
    <x v="0"/>
    <x v="0"/>
    <n v="114"/>
    <n v="12"/>
    <n v="0.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99E1B-ABE1-4F79-AD88-30AD0949515A}" name="Volume total par mois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6" rowHeaderCaption="Mois">
  <location ref="A3:B7" firstHeaderRow="1" firstDataRow="1" firstDataCol="1"/>
  <pivotFields count="7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6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ntacts" fld="3" baseField="6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35940-DE1E-428C-9333-48BDDF791591}" name="Volume par canal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 chartFormat="6" rowHeaderCaption="Canal">
  <location ref="A3:B7" firstHeaderRow="1" firstDataRow="1" firstDataCol="1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1"/>
        <item x="2"/>
        <item x="0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ntacts" fld="3" baseField="1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AEF55-752D-4EF9-AAE2-47A659F7F6C2}" name="Volume par motif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 chartFormat="7" rowHeaderCaption="Motif">
  <location ref="A3:B8" firstHeaderRow="1" firstDataRow="1" firstDataCol="1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 sortType="a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Contacts" fld="3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4CFDA-5666-41D5-B144-30E1FA756E92}" name="Moyenne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 rowHeaderCaption="Motif">
  <location ref="A3:B4" firstHeaderRow="0" firstDataRow="1" firstDataCol="0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emps moyen (min)" fld="4" subtotal="average" baseField="0" baseItem="1"/>
    <dataField name="Taux de résolution (%)" fld="5" subtotal="average" baseField="0" baseItem="1"/>
  </dataFields>
  <formats count="2">
    <format dxfId="3">
      <pivotArea dataOnly="0" outline="0" fieldPosition="0">
        <references count="1">
          <reference field="4294967294" count="1">
            <x v="0"/>
          </reference>
        </references>
      </pivotArea>
    </format>
    <format dxfId="2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CD8F4-D6D2-4358-B027-5D4847B75BB5}" name="Moyenne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 chartFormat="11" rowHeaderCaption="Canal">
  <location ref="A3:C7" firstHeaderRow="0" firstDataRow="1" firstDataCol="1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emps moyen (min)" fld="4" subtotal="average" baseField="1" baseItem="0"/>
    <dataField name="Taux de résolution (%)" fld="5" subtotal="average" baseField="1" baseItem="0"/>
  </dataFields>
  <formats count="2">
    <format dxfId="1">
      <pivotArea dataOnly="0" outline="0" fieldPosition="0">
        <references count="1">
          <reference field="4294967294" count="1">
            <x v="0"/>
          </reference>
        </references>
      </pivotArea>
    </format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CA7BAF1-0219-4B02-BFE6-53D2CF4082D0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Date" tableColumnId="1"/>
      <queryTableField id="2" name="Canal" tableColumnId="2"/>
      <queryTableField id="3" name="Motif_contact" tableColumnId="3"/>
      <queryTableField id="4" name="Nb_contacts" tableColumnId="4"/>
      <queryTableField id="5" name="Temps_moyen_traitement" tableColumnId="5"/>
      <queryTableField id="7" dataBound="0" tableColumnId="7"/>
    </queryTableFields>
    <queryTableDeletedFields count="1">
      <deletedField name="Taux_resolution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nal" xr10:uid="{2664A27D-B625-45BE-9421-385AB7BB40AC}" sourceName="Canal">
  <pivotTables>
    <pivotTable tabId="4" name="Volume par canal"/>
    <pivotTable tabId="5" name="Volume par motif"/>
    <pivotTable tabId="6" name="Moyenne"/>
    <pivotTable tabId="11" name="Moyenne"/>
  </pivotTables>
  <data>
    <tabular pivotCacheId="1528735387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tif_contact" xr10:uid="{13DC3F3D-B921-44A0-9826-1C32EDC72A44}" sourceName="Motif_contact">
  <pivotTables>
    <pivotTable tabId="4" name="Volume par canal"/>
  </pivotTables>
  <data>
    <tabular pivotCacheId="1528735387">
      <items count="4">
        <i x="3" s="1"/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al" xr10:uid="{C43436F9-6AEB-4145-AEFD-74A0911C6AD4}" cache="Segment_Canal" caption="Canal" rowHeight="241300"/>
  <slicer name="Motif_contact" xr10:uid="{A9C5F13D-3827-4AC4-B06E-E1CB438975A1}" cache="Segment_Motif_contact" caption="Motif_contact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AE5DA-1BE1-41F4-9415-7E612A8E0F74}" name="MOCK_DATA" displayName="MOCK_DATA" ref="A1:F301" tableType="queryTable" totalsRowShown="0">
  <autoFilter ref="A1:F301" xr:uid="{05EAE5DA-1BE1-41F4-9415-7E612A8E0F74}"/>
  <tableColumns count="6">
    <tableColumn id="1" xr3:uid="{506A7597-9A38-46FD-A737-857C1000A70A}" uniqueName="1" name="Date" queryTableFieldId="1" dataDxfId="6"/>
    <tableColumn id="2" xr3:uid="{99CC736E-663C-4EAD-8A03-C3192531BD40}" uniqueName="2" name="Canal" queryTableFieldId="2" dataDxfId="5"/>
    <tableColumn id="3" xr3:uid="{61C5FB4C-6AA5-448A-8301-26FC77DBDFEC}" uniqueName="3" name="Motif_contact" queryTableFieldId="3" dataDxfId="4"/>
    <tableColumn id="4" xr3:uid="{2E413263-9BE5-4E2E-9802-B45ADA0DFB4F}" uniqueName="4" name="Nb_contacts" queryTableFieldId="4"/>
    <tableColumn id="5" xr3:uid="{1C2E4F88-44FF-480D-9A5A-8A50A9653479}" uniqueName="5" name="Temps_moyen_traitement" queryTableFieldId="5"/>
    <tableColumn id="7" xr3:uid="{53E6141F-FB47-4D17-AE76-FCE3FCAF8E42}" uniqueName="7" name="Taux_resolution" queryTableFieldId="7" dataCellStyle="Pou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5356-C039-44D3-997A-2C5A4DE475FE}">
  <dimension ref="A1:F301"/>
  <sheetViews>
    <sheetView workbookViewId="0">
      <selection activeCell="H13" sqref="H13"/>
    </sheetView>
  </sheetViews>
  <sheetFormatPr baseColWidth="10" defaultRowHeight="14.5" x14ac:dyDescent="0.35"/>
  <cols>
    <col min="1" max="1" width="12.6328125" customWidth="1"/>
    <col min="2" max="2" width="13.26953125" bestFit="1" customWidth="1"/>
    <col min="3" max="3" width="15" bestFit="1" customWidth="1"/>
    <col min="4" max="4" width="13.54296875" bestFit="1" customWidth="1"/>
    <col min="5" max="5" width="25.6328125" bestFit="1" customWidth="1"/>
    <col min="6" max="6" width="16.6328125" style="6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</row>
    <row r="2" spans="1:6" x14ac:dyDescent="0.35">
      <c r="A2" s="1">
        <v>45702</v>
      </c>
      <c r="B2" t="s">
        <v>6</v>
      </c>
      <c r="C2" t="s">
        <v>7</v>
      </c>
      <c r="D2">
        <v>153</v>
      </c>
      <c r="E2">
        <v>15</v>
      </c>
      <c r="F2" s="6">
        <v>0.85</v>
      </c>
    </row>
    <row r="3" spans="1:6" x14ac:dyDescent="0.35">
      <c r="A3" s="1">
        <v>45694</v>
      </c>
      <c r="B3" t="s">
        <v>11</v>
      </c>
      <c r="C3" t="s">
        <v>8</v>
      </c>
      <c r="D3">
        <v>134</v>
      </c>
      <c r="E3">
        <v>14</v>
      </c>
      <c r="F3" s="6">
        <v>0.68</v>
      </c>
    </row>
    <row r="4" spans="1:6" x14ac:dyDescent="0.35">
      <c r="A4" s="1">
        <v>45715</v>
      </c>
      <c r="B4" t="s">
        <v>6</v>
      </c>
      <c r="C4" t="s">
        <v>12</v>
      </c>
      <c r="D4">
        <v>141</v>
      </c>
      <c r="E4">
        <v>11</v>
      </c>
      <c r="F4" s="6">
        <v>0.72</v>
      </c>
    </row>
    <row r="5" spans="1:6" x14ac:dyDescent="0.35">
      <c r="A5" s="1">
        <v>45740</v>
      </c>
      <c r="B5" t="s">
        <v>11</v>
      </c>
      <c r="C5" t="s">
        <v>9</v>
      </c>
      <c r="D5">
        <v>189</v>
      </c>
      <c r="E5">
        <v>4</v>
      </c>
      <c r="F5" s="6">
        <v>0.76</v>
      </c>
    </row>
    <row r="6" spans="1:6" x14ac:dyDescent="0.35">
      <c r="A6" s="1">
        <v>45731</v>
      </c>
      <c r="B6" t="s">
        <v>6</v>
      </c>
      <c r="C6" t="s">
        <v>7</v>
      </c>
      <c r="D6">
        <v>159</v>
      </c>
      <c r="E6">
        <v>12</v>
      </c>
      <c r="F6" s="6">
        <v>0.92</v>
      </c>
    </row>
    <row r="7" spans="1:6" x14ac:dyDescent="0.35">
      <c r="A7" s="1">
        <v>45714</v>
      </c>
      <c r="B7" t="s">
        <v>10</v>
      </c>
      <c r="C7" t="s">
        <v>8</v>
      </c>
      <c r="D7">
        <v>192</v>
      </c>
      <c r="E7">
        <v>4</v>
      </c>
      <c r="F7" s="6">
        <v>0.93</v>
      </c>
    </row>
    <row r="8" spans="1:6" x14ac:dyDescent="0.35">
      <c r="A8" s="1">
        <v>45695</v>
      </c>
      <c r="B8" t="s">
        <v>10</v>
      </c>
      <c r="C8" t="s">
        <v>7</v>
      </c>
      <c r="D8">
        <v>111</v>
      </c>
      <c r="E8">
        <v>15</v>
      </c>
      <c r="F8" s="6">
        <v>0.72</v>
      </c>
    </row>
    <row r="9" spans="1:6" x14ac:dyDescent="0.35">
      <c r="A9" s="1">
        <v>45698</v>
      </c>
      <c r="B9" t="s">
        <v>10</v>
      </c>
      <c r="C9" t="s">
        <v>12</v>
      </c>
      <c r="D9">
        <v>121</v>
      </c>
      <c r="E9">
        <v>15</v>
      </c>
      <c r="F9" s="6">
        <v>0.94</v>
      </c>
    </row>
    <row r="10" spans="1:6" x14ac:dyDescent="0.35">
      <c r="A10" s="1">
        <v>45736</v>
      </c>
      <c r="B10" t="s">
        <v>10</v>
      </c>
      <c r="C10" t="s">
        <v>8</v>
      </c>
      <c r="D10">
        <v>89</v>
      </c>
      <c r="E10">
        <v>14</v>
      </c>
      <c r="F10" s="6">
        <v>0.9</v>
      </c>
    </row>
    <row r="11" spans="1:6" x14ac:dyDescent="0.35">
      <c r="A11" s="1">
        <v>45701</v>
      </c>
      <c r="B11" t="s">
        <v>6</v>
      </c>
      <c r="C11" t="s">
        <v>8</v>
      </c>
      <c r="D11">
        <v>81</v>
      </c>
      <c r="E11">
        <v>8</v>
      </c>
      <c r="F11" s="6">
        <v>0.77</v>
      </c>
    </row>
    <row r="12" spans="1:6" x14ac:dyDescent="0.35">
      <c r="A12" s="1">
        <v>45692</v>
      </c>
      <c r="B12" t="s">
        <v>10</v>
      </c>
      <c r="C12" t="s">
        <v>9</v>
      </c>
      <c r="D12">
        <v>53</v>
      </c>
      <c r="E12">
        <v>15</v>
      </c>
      <c r="F12" s="6">
        <v>0.7</v>
      </c>
    </row>
    <row r="13" spans="1:6" x14ac:dyDescent="0.35">
      <c r="A13" s="1">
        <v>45667</v>
      </c>
      <c r="B13" t="s">
        <v>10</v>
      </c>
      <c r="C13" t="s">
        <v>7</v>
      </c>
      <c r="D13">
        <v>47</v>
      </c>
      <c r="E13">
        <v>9</v>
      </c>
      <c r="F13" s="6">
        <v>0.92</v>
      </c>
    </row>
    <row r="14" spans="1:6" x14ac:dyDescent="0.35">
      <c r="A14" s="1">
        <v>45683</v>
      </c>
      <c r="B14" t="s">
        <v>11</v>
      </c>
      <c r="C14" t="s">
        <v>8</v>
      </c>
      <c r="D14">
        <v>62</v>
      </c>
      <c r="E14">
        <v>10</v>
      </c>
      <c r="F14" s="6">
        <v>0.72</v>
      </c>
    </row>
    <row r="15" spans="1:6" x14ac:dyDescent="0.35">
      <c r="A15" s="1">
        <v>45680</v>
      </c>
      <c r="B15" t="s">
        <v>6</v>
      </c>
      <c r="C15" t="s">
        <v>8</v>
      </c>
      <c r="D15">
        <v>57</v>
      </c>
      <c r="E15">
        <v>15</v>
      </c>
      <c r="F15" s="6">
        <v>0.75</v>
      </c>
    </row>
    <row r="16" spans="1:6" x14ac:dyDescent="0.35">
      <c r="A16" s="1">
        <v>45685</v>
      </c>
      <c r="B16" t="s">
        <v>6</v>
      </c>
      <c r="C16" t="s">
        <v>8</v>
      </c>
      <c r="D16">
        <v>147</v>
      </c>
      <c r="E16">
        <v>13</v>
      </c>
      <c r="F16" s="6">
        <v>0.94</v>
      </c>
    </row>
    <row r="17" spans="1:6" x14ac:dyDescent="0.35">
      <c r="A17" s="1">
        <v>45696</v>
      </c>
      <c r="B17" t="s">
        <v>6</v>
      </c>
      <c r="C17" t="s">
        <v>12</v>
      </c>
      <c r="D17">
        <v>138</v>
      </c>
      <c r="E17">
        <v>7</v>
      </c>
      <c r="F17" s="6">
        <v>0.87</v>
      </c>
    </row>
    <row r="18" spans="1:6" x14ac:dyDescent="0.35">
      <c r="A18" s="1">
        <v>45716</v>
      </c>
      <c r="B18" t="s">
        <v>10</v>
      </c>
      <c r="C18" t="s">
        <v>7</v>
      </c>
      <c r="D18">
        <v>75</v>
      </c>
      <c r="E18">
        <v>14</v>
      </c>
      <c r="F18" s="6">
        <v>0.84</v>
      </c>
    </row>
    <row r="19" spans="1:6" x14ac:dyDescent="0.35">
      <c r="A19" s="1">
        <v>45676</v>
      </c>
      <c r="B19" t="s">
        <v>11</v>
      </c>
      <c r="C19" t="s">
        <v>9</v>
      </c>
      <c r="D19">
        <v>181</v>
      </c>
      <c r="E19">
        <v>11</v>
      </c>
      <c r="F19" s="6">
        <v>0.89</v>
      </c>
    </row>
    <row r="20" spans="1:6" x14ac:dyDescent="0.35">
      <c r="A20" s="1">
        <v>45666</v>
      </c>
      <c r="B20" t="s">
        <v>11</v>
      </c>
      <c r="C20" t="s">
        <v>7</v>
      </c>
      <c r="D20">
        <v>91</v>
      </c>
      <c r="E20">
        <v>10</v>
      </c>
      <c r="F20" s="6">
        <v>0.66</v>
      </c>
    </row>
    <row r="21" spans="1:6" x14ac:dyDescent="0.35">
      <c r="A21" s="1">
        <v>45706</v>
      </c>
      <c r="B21" t="s">
        <v>6</v>
      </c>
      <c r="C21" t="s">
        <v>8</v>
      </c>
      <c r="D21">
        <v>76</v>
      </c>
      <c r="E21">
        <v>10</v>
      </c>
      <c r="F21" s="6">
        <v>0.9</v>
      </c>
    </row>
    <row r="22" spans="1:6" x14ac:dyDescent="0.35">
      <c r="A22" s="1">
        <v>45702</v>
      </c>
      <c r="B22" t="s">
        <v>10</v>
      </c>
      <c r="C22" t="s">
        <v>7</v>
      </c>
      <c r="D22">
        <v>128</v>
      </c>
      <c r="E22">
        <v>9</v>
      </c>
      <c r="F22" s="6">
        <v>0.76</v>
      </c>
    </row>
    <row r="23" spans="1:6" x14ac:dyDescent="0.35">
      <c r="A23" s="1">
        <v>45691</v>
      </c>
      <c r="B23" t="s">
        <v>11</v>
      </c>
      <c r="C23" t="s">
        <v>8</v>
      </c>
      <c r="D23">
        <v>159</v>
      </c>
      <c r="E23">
        <v>14</v>
      </c>
      <c r="F23" s="6">
        <v>0.72</v>
      </c>
    </row>
    <row r="24" spans="1:6" x14ac:dyDescent="0.35">
      <c r="A24" s="1">
        <v>45712</v>
      </c>
      <c r="B24" t="s">
        <v>11</v>
      </c>
      <c r="C24" t="s">
        <v>8</v>
      </c>
      <c r="D24">
        <v>189</v>
      </c>
      <c r="E24">
        <v>6</v>
      </c>
      <c r="F24" s="6">
        <v>0.73</v>
      </c>
    </row>
    <row r="25" spans="1:6" x14ac:dyDescent="0.35">
      <c r="A25" s="1">
        <v>45672</v>
      </c>
      <c r="B25" t="s">
        <v>11</v>
      </c>
      <c r="C25" t="s">
        <v>7</v>
      </c>
      <c r="D25">
        <v>196</v>
      </c>
      <c r="E25">
        <v>4</v>
      </c>
      <c r="F25" s="6">
        <v>0.7</v>
      </c>
    </row>
    <row r="26" spans="1:6" x14ac:dyDescent="0.35">
      <c r="A26" s="1">
        <v>45693</v>
      </c>
      <c r="B26" t="s">
        <v>6</v>
      </c>
      <c r="C26" t="s">
        <v>8</v>
      </c>
      <c r="D26">
        <v>190</v>
      </c>
      <c r="E26">
        <v>14</v>
      </c>
      <c r="F26" s="6">
        <v>0.78</v>
      </c>
    </row>
    <row r="27" spans="1:6" x14ac:dyDescent="0.35">
      <c r="A27" s="1">
        <v>45700</v>
      </c>
      <c r="B27" t="s">
        <v>10</v>
      </c>
      <c r="C27" t="s">
        <v>7</v>
      </c>
      <c r="D27">
        <v>113</v>
      </c>
      <c r="E27">
        <v>8</v>
      </c>
      <c r="F27" s="6">
        <v>0.9</v>
      </c>
    </row>
    <row r="28" spans="1:6" x14ac:dyDescent="0.35">
      <c r="A28" s="1">
        <v>45661</v>
      </c>
      <c r="B28" t="s">
        <v>6</v>
      </c>
      <c r="C28" t="s">
        <v>7</v>
      </c>
      <c r="D28">
        <v>53</v>
      </c>
      <c r="E28">
        <v>13</v>
      </c>
      <c r="F28" s="6">
        <v>0.94</v>
      </c>
    </row>
    <row r="29" spans="1:6" x14ac:dyDescent="0.35">
      <c r="A29" s="1">
        <v>45717</v>
      </c>
      <c r="B29" t="s">
        <v>10</v>
      </c>
      <c r="C29" t="s">
        <v>8</v>
      </c>
      <c r="D29">
        <v>52</v>
      </c>
      <c r="E29">
        <v>5</v>
      </c>
      <c r="F29" s="6">
        <v>0.73</v>
      </c>
    </row>
    <row r="30" spans="1:6" x14ac:dyDescent="0.35">
      <c r="A30" s="1">
        <v>45717</v>
      </c>
      <c r="B30" t="s">
        <v>6</v>
      </c>
      <c r="C30" t="s">
        <v>8</v>
      </c>
      <c r="D30">
        <v>164</v>
      </c>
      <c r="E30">
        <v>8</v>
      </c>
      <c r="F30" s="6">
        <v>0.93</v>
      </c>
    </row>
    <row r="31" spans="1:6" x14ac:dyDescent="0.35">
      <c r="A31" s="1">
        <v>45670</v>
      </c>
      <c r="B31" t="s">
        <v>10</v>
      </c>
      <c r="C31" t="s">
        <v>8</v>
      </c>
      <c r="D31">
        <v>12</v>
      </c>
      <c r="E31">
        <v>5</v>
      </c>
      <c r="F31" s="6">
        <v>0.7</v>
      </c>
    </row>
    <row r="32" spans="1:6" x14ac:dyDescent="0.35">
      <c r="A32" s="1">
        <v>45730</v>
      </c>
      <c r="B32" t="s">
        <v>10</v>
      </c>
      <c r="C32" t="s">
        <v>7</v>
      </c>
      <c r="D32">
        <v>109</v>
      </c>
      <c r="E32">
        <v>15</v>
      </c>
      <c r="F32" s="6">
        <v>0.77</v>
      </c>
    </row>
    <row r="33" spans="1:6" x14ac:dyDescent="0.35">
      <c r="A33" s="1">
        <v>45736</v>
      </c>
      <c r="B33" t="s">
        <v>11</v>
      </c>
      <c r="C33" t="s">
        <v>8</v>
      </c>
      <c r="D33">
        <v>48</v>
      </c>
      <c r="E33">
        <v>14</v>
      </c>
      <c r="F33" s="6">
        <v>0.71</v>
      </c>
    </row>
    <row r="34" spans="1:6" x14ac:dyDescent="0.35">
      <c r="A34" s="1">
        <v>45685</v>
      </c>
      <c r="B34" t="s">
        <v>6</v>
      </c>
      <c r="C34" t="s">
        <v>8</v>
      </c>
      <c r="D34">
        <v>160</v>
      </c>
      <c r="E34">
        <v>13</v>
      </c>
      <c r="F34" s="6">
        <v>0.82</v>
      </c>
    </row>
    <row r="35" spans="1:6" x14ac:dyDescent="0.35">
      <c r="A35" s="1">
        <v>45690</v>
      </c>
      <c r="B35" t="s">
        <v>11</v>
      </c>
      <c r="C35" t="s">
        <v>9</v>
      </c>
      <c r="D35">
        <v>198</v>
      </c>
      <c r="E35">
        <v>8</v>
      </c>
      <c r="F35" s="6">
        <v>0.82</v>
      </c>
    </row>
    <row r="36" spans="1:6" x14ac:dyDescent="0.35">
      <c r="A36" s="1">
        <v>45732</v>
      </c>
      <c r="B36" t="s">
        <v>11</v>
      </c>
      <c r="C36" t="s">
        <v>8</v>
      </c>
      <c r="D36">
        <v>197</v>
      </c>
      <c r="E36">
        <v>5</v>
      </c>
      <c r="F36" s="6">
        <v>0.92</v>
      </c>
    </row>
    <row r="37" spans="1:6" x14ac:dyDescent="0.35">
      <c r="A37" s="1">
        <v>45727</v>
      </c>
      <c r="B37" t="s">
        <v>6</v>
      </c>
      <c r="C37" t="s">
        <v>8</v>
      </c>
      <c r="D37">
        <v>122</v>
      </c>
      <c r="E37">
        <v>12</v>
      </c>
      <c r="F37" s="6">
        <v>0.78</v>
      </c>
    </row>
    <row r="38" spans="1:6" x14ac:dyDescent="0.35">
      <c r="A38" s="1">
        <v>45720</v>
      </c>
      <c r="B38" t="s">
        <v>11</v>
      </c>
      <c r="C38" t="s">
        <v>7</v>
      </c>
      <c r="D38">
        <v>166</v>
      </c>
      <c r="E38">
        <v>5</v>
      </c>
      <c r="F38" s="6">
        <v>0.89</v>
      </c>
    </row>
    <row r="39" spans="1:6" x14ac:dyDescent="0.35">
      <c r="A39" s="1">
        <v>45702</v>
      </c>
      <c r="B39" t="s">
        <v>11</v>
      </c>
      <c r="C39" t="s">
        <v>12</v>
      </c>
      <c r="D39">
        <v>28</v>
      </c>
      <c r="E39">
        <v>6</v>
      </c>
      <c r="F39" s="6">
        <v>0.68</v>
      </c>
    </row>
    <row r="40" spans="1:6" x14ac:dyDescent="0.35">
      <c r="A40" s="1">
        <v>45734</v>
      </c>
      <c r="B40" t="s">
        <v>6</v>
      </c>
      <c r="C40" t="s">
        <v>9</v>
      </c>
      <c r="D40">
        <v>131</v>
      </c>
      <c r="E40">
        <v>7</v>
      </c>
      <c r="F40" s="6">
        <v>0.84</v>
      </c>
    </row>
    <row r="41" spans="1:6" x14ac:dyDescent="0.35">
      <c r="A41" s="1">
        <v>45744</v>
      </c>
      <c r="B41" t="s">
        <v>6</v>
      </c>
      <c r="C41" t="s">
        <v>8</v>
      </c>
      <c r="D41">
        <v>144</v>
      </c>
      <c r="E41">
        <v>9</v>
      </c>
      <c r="F41" s="6">
        <v>0.8</v>
      </c>
    </row>
    <row r="42" spans="1:6" x14ac:dyDescent="0.35">
      <c r="A42" s="1">
        <v>45741</v>
      </c>
      <c r="B42" t="s">
        <v>11</v>
      </c>
      <c r="C42" t="s">
        <v>12</v>
      </c>
      <c r="D42">
        <v>26</v>
      </c>
      <c r="E42">
        <v>4</v>
      </c>
      <c r="F42" s="6">
        <v>0.77</v>
      </c>
    </row>
    <row r="43" spans="1:6" x14ac:dyDescent="0.35">
      <c r="A43" s="1">
        <v>45729</v>
      </c>
      <c r="B43" t="s">
        <v>11</v>
      </c>
      <c r="C43" t="s">
        <v>9</v>
      </c>
      <c r="D43">
        <v>77</v>
      </c>
      <c r="E43">
        <v>5</v>
      </c>
      <c r="F43" s="6">
        <v>0.85</v>
      </c>
    </row>
    <row r="44" spans="1:6" x14ac:dyDescent="0.35">
      <c r="A44" s="1">
        <v>45675</v>
      </c>
      <c r="B44" t="s">
        <v>10</v>
      </c>
      <c r="C44" t="s">
        <v>12</v>
      </c>
      <c r="D44">
        <v>81</v>
      </c>
      <c r="E44">
        <v>9</v>
      </c>
      <c r="F44" s="6">
        <v>0.93</v>
      </c>
    </row>
    <row r="45" spans="1:6" x14ac:dyDescent="0.35">
      <c r="A45" s="1">
        <v>45704</v>
      </c>
      <c r="B45" t="s">
        <v>6</v>
      </c>
      <c r="C45" t="s">
        <v>8</v>
      </c>
      <c r="D45">
        <v>173</v>
      </c>
      <c r="E45">
        <v>7</v>
      </c>
      <c r="F45" s="6">
        <v>0.74</v>
      </c>
    </row>
    <row r="46" spans="1:6" x14ac:dyDescent="0.35">
      <c r="A46" s="1">
        <v>45668</v>
      </c>
      <c r="B46" t="s">
        <v>11</v>
      </c>
      <c r="C46" t="s">
        <v>7</v>
      </c>
      <c r="D46">
        <v>183</v>
      </c>
      <c r="E46">
        <v>8</v>
      </c>
      <c r="F46" s="6">
        <v>0.71</v>
      </c>
    </row>
    <row r="47" spans="1:6" x14ac:dyDescent="0.35">
      <c r="A47" s="1">
        <v>45678</v>
      </c>
      <c r="B47" t="s">
        <v>6</v>
      </c>
      <c r="C47" t="s">
        <v>12</v>
      </c>
      <c r="D47">
        <v>81</v>
      </c>
      <c r="E47">
        <v>11</v>
      </c>
      <c r="F47" s="6">
        <v>0.78</v>
      </c>
    </row>
    <row r="48" spans="1:6" x14ac:dyDescent="0.35">
      <c r="A48" s="1">
        <v>45683</v>
      </c>
      <c r="B48" t="s">
        <v>10</v>
      </c>
      <c r="C48" t="s">
        <v>8</v>
      </c>
      <c r="D48">
        <v>164</v>
      </c>
      <c r="E48">
        <v>10</v>
      </c>
      <c r="F48" s="6">
        <v>0.77</v>
      </c>
    </row>
    <row r="49" spans="1:6" x14ac:dyDescent="0.35">
      <c r="A49" s="1">
        <v>45726</v>
      </c>
      <c r="B49" t="s">
        <v>6</v>
      </c>
      <c r="C49" t="s">
        <v>7</v>
      </c>
      <c r="D49">
        <v>44</v>
      </c>
      <c r="E49">
        <v>6</v>
      </c>
      <c r="F49" s="6">
        <v>0.76</v>
      </c>
    </row>
    <row r="50" spans="1:6" x14ac:dyDescent="0.35">
      <c r="A50" s="1">
        <v>45715</v>
      </c>
      <c r="B50" t="s">
        <v>6</v>
      </c>
      <c r="C50" t="s">
        <v>8</v>
      </c>
      <c r="D50">
        <v>104</v>
      </c>
      <c r="E50">
        <v>8</v>
      </c>
      <c r="F50" s="6">
        <v>0.9</v>
      </c>
    </row>
    <row r="51" spans="1:6" x14ac:dyDescent="0.35">
      <c r="A51" s="1">
        <v>45726</v>
      </c>
      <c r="B51" t="s">
        <v>10</v>
      </c>
      <c r="C51" t="s">
        <v>12</v>
      </c>
      <c r="D51">
        <v>72</v>
      </c>
      <c r="E51">
        <v>6</v>
      </c>
      <c r="F51" s="6">
        <v>0.74</v>
      </c>
    </row>
    <row r="52" spans="1:6" x14ac:dyDescent="0.35">
      <c r="A52" s="1">
        <v>45685</v>
      </c>
      <c r="B52" t="s">
        <v>10</v>
      </c>
      <c r="C52" t="s">
        <v>9</v>
      </c>
      <c r="D52">
        <v>140</v>
      </c>
      <c r="E52">
        <v>11</v>
      </c>
      <c r="F52" s="6">
        <v>0.75</v>
      </c>
    </row>
    <row r="53" spans="1:6" x14ac:dyDescent="0.35">
      <c r="A53" s="1">
        <v>45707</v>
      </c>
      <c r="B53" t="s">
        <v>11</v>
      </c>
      <c r="C53" t="s">
        <v>12</v>
      </c>
      <c r="D53">
        <v>70</v>
      </c>
      <c r="E53">
        <v>7</v>
      </c>
      <c r="F53" s="6">
        <v>0.8</v>
      </c>
    </row>
    <row r="54" spans="1:6" x14ac:dyDescent="0.35">
      <c r="A54" s="1">
        <v>45716</v>
      </c>
      <c r="B54" t="s">
        <v>10</v>
      </c>
      <c r="C54" t="s">
        <v>12</v>
      </c>
      <c r="D54">
        <v>194</v>
      </c>
      <c r="E54">
        <v>8</v>
      </c>
      <c r="F54" s="6">
        <v>0.69</v>
      </c>
    </row>
    <row r="55" spans="1:6" x14ac:dyDescent="0.35">
      <c r="A55" s="1">
        <v>45709</v>
      </c>
      <c r="B55" t="s">
        <v>11</v>
      </c>
      <c r="C55" t="s">
        <v>8</v>
      </c>
      <c r="D55">
        <v>131</v>
      </c>
      <c r="E55">
        <v>14</v>
      </c>
      <c r="F55" s="6">
        <v>0.71</v>
      </c>
    </row>
    <row r="56" spans="1:6" x14ac:dyDescent="0.35">
      <c r="A56" s="1">
        <v>45675</v>
      </c>
      <c r="B56" t="s">
        <v>10</v>
      </c>
      <c r="C56" t="s">
        <v>8</v>
      </c>
      <c r="D56">
        <v>39</v>
      </c>
      <c r="E56">
        <v>11</v>
      </c>
      <c r="F56" s="6">
        <v>0.65</v>
      </c>
    </row>
    <row r="57" spans="1:6" x14ac:dyDescent="0.35">
      <c r="A57" s="1">
        <v>45729</v>
      </c>
      <c r="B57" t="s">
        <v>10</v>
      </c>
      <c r="C57" t="s">
        <v>12</v>
      </c>
      <c r="D57">
        <v>134</v>
      </c>
      <c r="E57">
        <v>9</v>
      </c>
      <c r="F57" s="6">
        <v>0.95</v>
      </c>
    </row>
    <row r="58" spans="1:6" x14ac:dyDescent="0.35">
      <c r="A58" s="1">
        <v>45689</v>
      </c>
      <c r="B58" t="s">
        <v>11</v>
      </c>
      <c r="C58" t="s">
        <v>9</v>
      </c>
      <c r="D58">
        <v>107</v>
      </c>
      <c r="E58">
        <v>15</v>
      </c>
      <c r="F58" s="6">
        <v>0.95</v>
      </c>
    </row>
    <row r="59" spans="1:6" x14ac:dyDescent="0.35">
      <c r="A59" s="1">
        <v>45722</v>
      </c>
      <c r="B59" t="s">
        <v>11</v>
      </c>
      <c r="C59" t="s">
        <v>7</v>
      </c>
      <c r="D59">
        <v>151</v>
      </c>
      <c r="E59">
        <v>6</v>
      </c>
      <c r="F59" s="6">
        <v>0.69</v>
      </c>
    </row>
    <row r="60" spans="1:6" x14ac:dyDescent="0.35">
      <c r="A60" s="1">
        <v>45727</v>
      </c>
      <c r="B60" t="s">
        <v>10</v>
      </c>
      <c r="C60" t="s">
        <v>12</v>
      </c>
      <c r="D60">
        <v>181</v>
      </c>
      <c r="E60">
        <v>12</v>
      </c>
      <c r="F60" s="6">
        <v>0.88</v>
      </c>
    </row>
    <row r="61" spans="1:6" x14ac:dyDescent="0.35">
      <c r="A61" s="1">
        <v>45687</v>
      </c>
      <c r="B61" t="s">
        <v>11</v>
      </c>
      <c r="C61" t="s">
        <v>12</v>
      </c>
      <c r="D61">
        <v>149</v>
      </c>
      <c r="E61">
        <v>12</v>
      </c>
      <c r="F61" s="6">
        <v>0.87</v>
      </c>
    </row>
    <row r="62" spans="1:6" x14ac:dyDescent="0.35">
      <c r="A62" s="1">
        <v>45706</v>
      </c>
      <c r="B62" t="s">
        <v>11</v>
      </c>
      <c r="C62" t="s">
        <v>12</v>
      </c>
      <c r="D62">
        <v>170</v>
      </c>
      <c r="E62">
        <v>6</v>
      </c>
      <c r="F62" s="6">
        <v>0.94</v>
      </c>
    </row>
    <row r="63" spans="1:6" x14ac:dyDescent="0.35">
      <c r="A63" s="1">
        <v>45677</v>
      </c>
      <c r="B63" t="s">
        <v>11</v>
      </c>
      <c r="C63" t="s">
        <v>8</v>
      </c>
      <c r="D63">
        <v>13</v>
      </c>
      <c r="E63">
        <v>8</v>
      </c>
      <c r="F63" s="6">
        <v>0.9</v>
      </c>
    </row>
    <row r="64" spans="1:6" x14ac:dyDescent="0.35">
      <c r="A64" s="1">
        <v>45675</v>
      </c>
      <c r="B64" t="s">
        <v>11</v>
      </c>
      <c r="C64" t="s">
        <v>8</v>
      </c>
      <c r="D64">
        <v>110</v>
      </c>
      <c r="E64">
        <v>7</v>
      </c>
      <c r="F64" s="6">
        <v>0.74</v>
      </c>
    </row>
    <row r="65" spans="1:6" x14ac:dyDescent="0.35">
      <c r="A65" s="1">
        <v>45671</v>
      </c>
      <c r="B65" t="s">
        <v>6</v>
      </c>
      <c r="C65" t="s">
        <v>8</v>
      </c>
      <c r="D65">
        <v>150</v>
      </c>
      <c r="E65">
        <v>9</v>
      </c>
      <c r="F65" s="6">
        <v>0.89</v>
      </c>
    </row>
    <row r="66" spans="1:6" x14ac:dyDescent="0.35">
      <c r="A66" s="1">
        <v>45697</v>
      </c>
      <c r="B66" t="s">
        <v>10</v>
      </c>
      <c r="C66" t="s">
        <v>8</v>
      </c>
      <c r="D66">
        <v>106</v>
      </c>
      <c r="E66">
        <v>14</v>
      </c>
      <c r="F66" s="6">
        <v>0.82</v>
      </c>
    </row>
    <row r="67" spans="1:6" x14ac:dyDescent="0.35">
      <c r="A67" s="1">
        <v>45708</v>
      </c>
      <c r="B67" t="s">
        <v>11</v>
      </c>
      <c r="C67" t="s">
        <v>9</v>
      </c>
      <c r="D67">
        <v>153</v>
      </c>
      <c r="E67">
        <v>15</v>
      </c>
      <c r="F67" s="6">
        <v>0.8</v>
      </c>
    </row>
    <row r="68" spans="1:6" x14ac:dyDescent="0.35">
      <c r="A68" s="1">
        <v>45734</v>
      </c>
      <c r="B68" t="s">
        <v>6</v>
      </c>
      <c r="C68" t="s">
        <v>7</v>
      </c>
      <c r="D68">
        <v>186</v>
      </c>
      <c r="E68">
        <v>15</v>
      </c>
      <c r="F68" s="6">
        <v>0.83</v>
      </c>
    </row>
    <row r="69" spans="1:6" x14ac:dyDescent="0.35">
      <c r="A69" s="1">
        <v>45694</v>
      </c>
      <c r="B69" t="s">
        <v>11</v>
      </c>
      <c r="C69" t="s">
        <v>8</v>
      </c>
      <c r="D69">
        <v>50</v>
      </c>
      <c r="E69">
        <v>13</v>
      </c>
      <c r="F69" s="6">
        <v>0.69</v>
      </c>
    </row>
    <row r="70" spans="1:6" x14ac:dyDescent="0.35">
      <c r="A70" s="1">
        <v>45722</v>
      </c>
      <c r="B70" t="s">
        <v>10</v>
      </c>
      <c r="C70" t="s">
        <v>7</v>
      </c>
      <c r="D70">
        <v>80</v>
      </c>
      <c r="E70">
        <v>5</v>
      </c>
      <c r="F70" s="6">
        <v>0.67</v>
      </c>
    </row>
    <row r="71" spans="1:6" x14ac:dyDescent="0.35">
      <c r="A71" s="1">
        <v>45716</v>
      </c>
      <c r="B71" t="s">
        <v>11</v>
      </c>
      <c r="C71" t="s">
        <v>12</v>
      </c>
      <c r="D71">
        <v>18</v>
      </c>
      <c r="E71">
        <v>5</v>
      </c>
      <c r="F71" s="6">
        <v>0.93</v>
      </c>
    </row>
    <row r="72" spans="1:6" x14ac:dyDescent="0.35">
      <c r="A72" s="1">
        <v>45662</v>
      </c>
      <c r="B72" t="s">
        <v>6</v>
      </c>
      <c r="C72" t="s">
        <v>8</v>
      </c>
      <c r="D72">
        <v>61</v>
      </c>
      <c r="E72">
        <v>11</v>
      </c>
      <c r="F72" s="6">
        <v>0.7</v>
      </c>
    </row>
    <row r="73" spans="1:6" x14ac:dyDescent="0.35">
      <c r="A73" s="1">
        <v>45668</v>
      </c>
      <c r="B73" t="s">
        <v>10</v>
      </c>
      <c r="C73" t="s">
        <v>7</v>
      </c>
      <c r="D73">
        <v>87</v>
      </c>
      <c r="E73">
        <v>10</v>
      </c>
      <c r="F73" s="6">
        <v>0.95</v>
      </c>
    </row>
    <row r="74" spans="1:6" x14ac:dyDescent="0.35">
      <c r="A74" s="1">
        <v>45706</v>
      </c>
      <c r="B74" t="s">
        <v>10</v>
      </c>
      <c r="C74" t="s">
        <v>12</v>
      </c>
      <c r="D74">
        <v>194</v>
      </c>
      <c r="E74">
        <v>9</v>
      </c>
      <c r="F74" s="6">
        <v>0.9</v>
      </c>
    </row>
    <row r="75" spans="1:6" x14ac:dyDescent="0.35">
      <c r="A75" s="1">
        <v>45743</v>
      </c>
      <c r="B75" t="s">
        <v>10</v>
      </c>
      <c r="C75" t="s">
        <v>8</v>
      </c>
      <c r="D75">
        <v>79</v>
      </c>
      <c r="E75">
        <v>8</v>
      </c>
      <c r="F75" s="6">
        <v>0.81</v>
      </c>
    </row>
    <row r="76" spans="1:6" x14ac:dyDescent="0.35">
      <c r="A76" s="1">
        <v>45679</v>
      </c>
      <c r="B76" t="s">
        <v>10</v>
      </c>
      <c r="C76" t="s">
        <v>7</v>
      </c>
      <c r="D76">
        <v>11</v>
      </c>
      <c r="E76">
        <v>15</v>
      </c>
      <c r="F76" s="6">
        <v>0.8</v>
      </c>
    </row>
    <row r="77" spans="1:6" x14ac:dyDescent="0.35">
      <c r="A77" s="1">
        <v>45659</v>
      </c>
      <c r="B77" t="s">
        <v>6</v>
      </c>
      <c r="C77" t="s">
        <v>9</v>
      </c>
      <c r="D77">
        <v>163</v>
      </c>
      <c r="E77">
        <v>14</v>
      </c>
      <c r="F77" s="6">
        <v>0.89</v>
      </c>
    </row>
    <row r="78" spans="1:6" x14ac:dyDescent="0.35">
      <c r="A78" s="1">
        <v>45713</v>
      </c>
      <c r="B78" t="s">
        <v>6</v>
      </c>
      <c r="C78" t="s">
        <v>9</v>
      </c>
      <c r="D78">
        <v>99</v>
      </c>
      <c r="E78">
        <v>8</v>
      </c>
      <c r="F78" s="6">
        <v>0.79</v>
      </c>
    </row>
    <row r="79" spans="1:6" x14ac:dyDescent="0.35">
      <c r="A79" s="1">
        <v>45678</v>
      </c>
      <c r="B79" t="s">
        <v>6</v>
      </c>
      <c r="C79" t="s">
        <v>7</v>
      </c>
      <c r="D79">
        <v>24</v>
      </c>
      <c r="E79">
        <v>4</v>
      </c>
      <c r="F79" s="6">
        <v>0.69</v>
      </c>
    </row>
    <row r="80" spans="1:6" x14ac:dyDescent="0.35">
      <c r="A80" s="1">
        <v>45716</v>
      </c>
      <c r="B80" t="s">
        <v>6</v>
      </c>
      <c r="C80" t="s">
        <v>7</v>
      </c>
      <c r="D80">
        <v>198</v>
      </c>
      <c r="E80">
        <v>8</v>
      </c>
      <c r="F80" s="6">
        <v>0.85</v>
      </c>
    </row>
    <row r="81" spans="1:6" x14ac:dyDescent="0.35">
      <c r="A81" s="1">
        <v>45670</v>
      </c>
      <c r="B81" t="s">
        <v>10</v>
      </c>
      <c r="C81" t="s">
        <v>8</v>
      </c>
      <c r="D81">
        <v>136</v>
      </c>
      <c r="E81">
        <v>4</v>
      </c>
      <c r="F81" s="6">
        <v>0.92</v>
      </c>
    </row>
    <row r="82" spans="1:6" x14ac:dyDescent="0.35">
      <c r="A82" s="1">
        <v>45673</v>
      </c>
      <c r="B82" t="s">
        <v>6</v>
      </c>
      <c r="C82" t="s">
        <v>8</v>
      </c>
      <c r="D82">
        <v>10</v>
      </c>
      <c r="E82">
        <v>10</v>
      </c>
      <c r="F82" s="6">
        <v>0.68</v>
      </c>
    </row>
    <row r="83" spans="1:6" x14ac:dyDescent="0.35">
      <c r="A83" s="1">
        <v>45676</v>
      </c>
      <c r="B83" t="s">
        <v>11</v>
      </c>
      <c r="C83" t="s">
        <v>8</v>
      </c>
      <c r="D83">
        <v>145</v>
      </c>
      <c r="E83">
        <v>10</v>
      </c>
      <c r="F83" s="6">
        <v>0.67</v>
      </c>
    </row>
    <row r="84" spans="1:6" x14ac:dyDescent="0.35">
      <c r="A84" s="1">
        <v>45741</v>
      </c>
      <c r="B84" t="s">
        <v>10</v>
      </c>
      <c r="C84" t="s">
        <v>7</v>
      </c>
      <c r="D84">
        <v>29</v>
      </c>
      <c r="E84">
        <v>7</v>
      </c>
      <c r="F84" s="6">
        <v>0.68</v>
      </c>
    </row>
    <row r="85" spans="1:6" x14ac:dyDescent="0.35">
      <c r="A85" s="1">
        <v>45707</v>
      </c>
      <c r="B85" t="s">
        <v>11</v>
      </c>
      <c r="C85" t="s">
        <v>7</v>
      </c>
      <c r="D85">
        <v>74</v>
      </c>
      <c r="E85">
        <v>7</v>
      </c>
      <c r="F85" s="6">
        <v>0.69</v>
      </c>
    </row>
    <row r="86" spans="1:6" x14ac:dyDescent="0.35">
      <c r="A86" s="1">
        <v>45668</v>
      </c>
      <c r="B86" t="s">
        <v>10</v>
      </c>
      <c r="C86" t="s">
        <v>7</v>
      </c>
      <c r="D86">
        <v>29</v>
      </c>
      <c r="E86">
        <v>14</v>
      </c>
      <c r="F86" s="6">
        <v>0.89</v>
      </c>
    </row>
    <row r="87" spans="1:6" x14ac:dyDescent="0.35">
      <c r="A87" s="1">
        <v>45729</v>
      </c>
      <c r="B87" t="s">
        <v>11</v>
      </c>
      <c r="C87" t="s">
        <v>7</v>
      </c>
      <c r="D87">
        <v>87</v>
      </c>
      <c r="E87">
        <v>8</v>
      </c>
      <c r="F87" s="6">
        <v>0.79</v>
      </c>
    </row>
    <row r="88" spans="1:6" x14ac:dyDescent="0.35">
      <c r="A88" s="1">
        <v>45688</v>
      </c>
      <c r="B88" t="s">
        <v>6</v>
      </c>
      <c r="C88" t="s">
        <v>7</v>
      </c>
      <c r="D88">
        <v>13</v>
      </c>
      <c r="E88">
        <v>4</v>
      </c>
      <c r="F88" s="6">
        <v>0.67</v>
      </c>
    </row>
    <row r="89" spans="1:6" x14ac:dyDescent="0.35">
      <c r="A89" s="1">
        <v>45722</v>
      </c>
      <c r="B89" t="s">
        <v>11</v>
      </c>
      <c r="C89" t="s">
        <v>7</v>
      </c>
      <c r="D89">
        <v>137</v>
      </c>
      <c r="E89">
        <v>9</v>
      </c>
      <c r="F89" s="6">
        <v>0.78</v>
      </c>
    </row>
    <row r="90" spans="1:6" x14ac:dyDescent="0.35">
      <c r="A90" s="1">
        <v>45717</v>
      </c>
      <c r="B90" t="s">
        <v>11</v>
      </c>
      <c r="C90" t="s">
        <v>9</v>
      </c>
      <c r="D90">
        <v>11</v>
      </c>
      <c r="E90">
        <v>9</v>
      </c>
      <c r="F90" s="6">
        <v>0.81</v>
      </c>
    </row>
    <row r="91" spans="1:6" x14ac:dyDescent="0.35">
      <c r="A91" s="1">
        <v>45729</v>
      </c>
      <c r="B91" t="s">
        <v>10</v>
      </c>
      <c r="C91" t="s">
        <v>12</v>
      </c>
      <c r="D91">
        <v>33</v>
      </c>
      <c r="E91">
        <v>6</v>
      </c>
      <c r="F91" s="6">
        <v>0.91</v>
      </c>
    </row>
    <row r="92" spans="1:6" x14ac:dyDescent="0.35">
      <c r="A92" s="1">
        <v>45740</v>
      </c>
      <c r="B92" t="s">
        <v>10</v>
      </c>
      <c r="C92" t="s">
        <v>9</v>
      </c>
      <c r="D92">
        <v>97</v>
      </c>
      <c r="E92">
        <v>10</v>
      </c>
      <c r="F92" s="6">
        <v>0.67</v>
      </c>
    </row>
    <row r="93" spans="1:6" x14ac:dyDescent="0.35">
      <c r="A93" s="1">
        <v>45732</v>
      </c>
      <c r="B93" t="s">
        <v>10</v>
      </c>
      <c r="C93" t="s">
        <v>9</v>
      </c>
      <c r="D93">
        <v>171</v>
      </c>
      <c r="E93">
        <v>14</v>
      </c>
      <c r="F93" s="6">
        <v>0.75</v>
      </c>
    </row>
    <row r="94" spans="1:6" x14ac:dyDescent="0.35">
      <c r="A94" s="1">
        <v>45739</v>
      </c>
      <c r="B94" t="s">
        <v>6</v>
      </c>
      <c r="C94" t="s">
        <v>9</v>
      </c>
      <c r="D94">
        <v>134</v>
      </c>
      <c r="E94">
        <v>15</v>
      </c>
      <c r="F94" s="6">
        <v>0.68</v>
      </c>
    </row>
    <row r="95" spans="1:6" x14ac:dyDescent="0.35">
      <c r="A95" s="1">
        <v>45709</v>
      </c>
      <c r="B95" t="s">
        <v>10</v>
      </c>
      <c r="C95" t="s">
        <v>8</v>
      </c>
      <c r="D95">
        <v>137</v>
      </c>
      <c r="E95">
        <v>14</v>
      </c>
      <c r="F95" s="6">
        <v>0.85</v>
      </c>
    </row>
    <row r="96" spans="1:6" x14ac:dyDescent="0.35">
      <c r="A96" s="1">
        <v>45688</v>
      </c>
      <c r="B96" t="s">
        <v>6</v>
      </c>
      <c r="C96" t="s">
        <v>9</v>
      </c>
      <c r="D96">
        <v>54</v>
      </c>
      <c r="E96">
        <v>10</v>
      </c>
      <c r="F96" s="6">
        <v>0.65</v>
      </c>
    </row>
    <row r="97" spans="1:6" x14ac:dyDescent="0.35">
      <c r="A97" s="1">
        <v>45717</v>
      </c>
      <c r="B97" t="s">
        <v>10</v>
      </c>
      <c r="C97" t="s">
        <v>12</v>
      </c>
      <c r="D97">
        <v>80</v>
      </c>
      <c r="E97">
        <v>12</v>
      </c>
      <c r="F97" s="6">
        <v>0.94</v>
      </c>
    </row>
    <row r="98" spans="1:6" x14ac:dyDescent="0.35">
      <c r="A98" s="1">
        <v>45693</v>
      </c>
      <c r="B98" t="s">
        <v>6</v>
      </c>
      <c r="C98" t="s">
        <v>12</v>
      </c>
      <c r="D98">
        <v>128</v>
      </c>
      <c r="E98">
        <v>11</v>
      </c>
      <c r="F98" s="6">
        <v>0.9</v>
      </c>
    </row>
    <row r="99" spans="1:6" x14ac:dyDescent="0.35">
      <c r="A99" s="1">
        <v>45730</v>
      </c>
      <c r="B99" t="s">
        <v>10</v>
      </c>
      <c r="C99" t="s">
        <v>9</v>
      </c>
      <c r="D99">
        <v>191</v>
      </c>
      <c r="E99">
        <v>15</v>
      </c>
      <c r="F99" s="6">
        <v>0.92</v>
      </c>
    </row>
    <row r="100" spans="1:6" x14ac:dyDescent="0.35">
      <c r="A100" s="1">
        <v>45681</v>
      </c>
      <c r="B100" t="s">
        <v>6</v>
      </c>
      <c r="C100" t="s">
        <v>7</v>
      </c>
      <c r="D100">
        <v>189</v>
      </c>
      <c r="E100">
        <v>14</v>
      </c>
      <c r="F100" s="6">
        <v>0.92</v>
      </c>
    </row>
    <row r="101" spans="1:6" x14ac:dyDescent="0.35">
      <c r="A101" s="1">
        <v>45708</v>
      </c>
      <c r="B101" t="s">
        <v>10</v>
      </c>
      <c r="C101" t="s">
        <v>8</v>
      </c>
      <c r="D101">
        <v>141</v>
      </c>
      <c r="E101">
        <v>8</v>
      </c>
      <c r="F101" s="6">
        <v>0.93</v>
      </c>
    </row>
    <row r="102" spans="1:6" x14ac:dyDescent="0.35">
      <c r="A102" s="1">
        <v>45716</v>
      </c>
      <c r="B102" t="s">
        <v>11</v>
      </c>
      <c r="C102" t="s">
        <v>12</v>
      </c>
      <c r="D102">
        <v>13</v>
      </c>
      <c r="E102">
        <v>14</v>
      </c>
      <c r="F102" s="6">
        <v>0.9</v>
      </c>
    </row>
    <row r="103" spans="1:6" x14ac:dyDescent="0.35">
      <c r="A103" s="1">
        <v>45707</v>
      </c>
      <c r="B103" t="s">
        <v>11</v>
      </c>
      <c r="C103" t="s">
        <v>12</v>
      </c>
      <c r="D103">
        <v>50</v>
      </c>
      <c r="E103">
        <v>11</v>
      </c>
      <c r="F103" s="6">
        <v>0.91</v>
      </c>
    </row>
    <row r="104" spans="1:6" x14ac:dyDescent="0.35">
      <c r="A104" s="1">
        <v>45666</v>
      </c>
      <c r="B104" t="s">
        <v>11</v>
      </c>
      <c r="C104" t="s">
        <v>12</v>
      </c>
      <c r="D104">
        <v>143</v>
      </c>
      <c r="E104">
        <v>8</v>
      </c>
      <c r="F104" s="6">
        <v>0.67</v>
      </c>
    </row>
    <row r="105" spans="1:6" x14ac:dyDescent="0.35">
      <c r="A105" s="1">
        <v>45668</v>
      </c>
      <c r="B105" t="s">
        <v>10</v>
      </c>
      <c r="C105" t="s">
        <v>8</v>
      </c>
      <c r="D105">
        <v>68</v>
      </c>
      <c r="E105">
        <v>6</v>
      </c>
      <c r="F105" s="6">
        <v>0.93</v>
      </c>
    </row>
    <row r="106" spans="1:6" x14ac:dyDescent="0.35">
      <c r="A106" s="1">
        <v>45685</v>
      </c>
      <c r="B106" t="s">
        <v>10</v>
      </c>
      <c r="C106" t="s">
        <v>9</v>
      </c>
      <c r="D106">
        <v>120</v>
      </c>
      <c r="E106">
        <v>12</v>
      </c>
      <c r="F106" s="6">
        <v>0.91</v>
      </c>
    </row>
    <row r="107" spans="1:6" x14ac:dyDescent="0.35">
      <c r="A107" s="1">
        <v>45689</v>
      </c>
      <c r="B107" t="s">
        <v>11</v>
      </c>
      <c r="C107" t="s">
        <v>9</v>
      </c>
      <c r="D107">
        <v>191</v>
      </c>
      <c r="E107">
        <v>4</v>
      </c>
      <c r="F107" s="6">
        <v>0.73</v>
      </c>
    </row>
    <row r="108" spans="1:6" x14ac:dyDescent="0.35">
      <c r="A108" s="1">
        <v>45676</v>
      </c>
      <c r="B108" t="s">
        <v>6</v>
      </c>
      <c r="C108" t="s">
        <v>9</v>
      </c>
      <c r="D108">
        <v>157</v>
      </c>
      <c r="E108">
        <v>7</v>
      </c>
      <c r="F108" s="6">
        <v>0.82</v>
      </c>
    </row>
    <row r="109" spans="1:6" x14ac:dyDescent="0.35">
      <c r="A109" s="1">
        <v>45699</v>
      </c>
      <c r="B109" t="s">
        <v>11</v>
      </c>
      <c r="C109" t="s">
        <v>8</v>
      </c>
      <c r="D109">
        <v>122</v>
      </c>
      <c r="E109">
        <v>15</v>
      </c>
      <c r="F109" s="6">
        <v>0.65</v>
      </c>
    </row>
    <row r="110" spans="1:6" x14ac:dyDescent="0.35">
      <c r="A110" s="1">
        <v>45676</v>
      </c>
      <c r="B110" t="s">
        <v>6</v>
      </c>
      <c r="C110" t="s">
        <v>7</v>
      </c>
      <c r="D110">
        <v>140</v>
      </c>
      <c r="E110">
        <v>10</v>
      </c>
      <c r="F110" s="6">
        <v>0.77</v>
      </c>
    </row>
    <row r="111" spans="1:6" x14ac:dyDescent="0.35">
      <c r="A111" s="1">
        <v>45710</v>
      </c>
      <c r="B111" t="s">
        <v>11</v>
      </c>
      <c r="C111" t="s">
        <v>12</v>
      </c>
      <c r="D111">
        <v>153</v>
      </c>
      <c r="E111">
        <v>15</v>
      </c>
      <c r="F111" s="6">
        <v>0.66</v>
      </c>
    </row>
    <row r="112" spans="1:6" x14ac:dyDescent="0.35">
      <c r="A112" s="1">
        <v>45696</v>
      </c>
      <c r="B112" t="s">
        <v>6</v>
      </c>
      <c r="C112" t="s">
        <v>12</v>
      </c>
      <c r="D112">
        <v>106</v>
      </c>
      <c r="E112">
        <v>11</v>
      </c>
      <c r="F112" s="6">
        <v>0.83</v>
      </c>
    </row>
    <row r="113" spans="1:6" x14ac:dyDescent="0.35">
      <c r="A113" s="1">
        <v>45726</v>
      </c>
      <c r="B113" t="s">
        <v>6</v>
      </c>
      <c r="C113" t="s">
        <v>9</v>
      </c>
      <c r="D113">
        <v>144</v>
      </c>
      <c r="E113">
        <v>11</v>
      </c>
      <c r="F113" s="6">
        <v>0.83</v>
      </c>
    </row>
    <row r="114" spans="1:6" x14ac:dyDescent="0.35">
      <c r="A114" s="1">
        <v>45701</v>
      </c>
      <c r="B114" t="s">
        <v>6</v>
      </c>
      <c r="C114" t="s">
        <v>12</v>
      </c>
      <c r="D114">
        <v>112</v>
      </c>
      <c r="E114">
        <v>11</v>
      </c>
      <c r="F114" s="6">
        <v>0.68</v>
      </c>
    </row>
    <row r="115" spans="1:6" x14ac:dyDescent="0.35">
      <c r="A115" s="1">
        <v>45733</v>
      </c>
      <c r="B115" t="s">
        <v>10</v>
      </c>
      <c r="C115" t="s">
        <v>12</v>
      </c>
      <c r="D115">
        <v>77</v>
      </c>
      <c r="E115">
        <v>6</v>
      </c>
      <c r="F115" s="6">
        <v>0.79</v>
      </c>
    </row>
    <row r="116" spans="1:6" x14ac:dyDescent="0.35">
      <c r="A116" s="1">
        <v>45722</v>
      </c>
      <c r="B116" t="s">
        <v>11</v>
      </c>
      <c r="C116" t="s">
        <v>12</v>
      </c>
      <c r="D116">
        <v>85</v>
      </c>
      <c r="E116">
        <v>15</v>
      </c>
      <c r="F116" s="6">
        <v>0.79</v>
      </c>
    </row>
    <row r="117" spans="1:6" x14ac:dyDescent="0.35">
      <c r="A117" s="1">
        <v>45730</v>
      </c>
      <c r="B117" t="s">
        <v>11</v>
      </c>
      <c r="C117" t="s">
        <v>12</v>
      </c>
      <c r="D117">
        <v>161</v>
      </c>
      <c r="E117">
        <v>14</v>
      </c>
      <c r="F117" s="6">
        <v>0.69</v>
      </c>
    </row>
    <row r="118" spans="1:6" x14ac:dyDescent="0.35">
      <c r="A118" s="1">
        <v>45668</v>
      </c>
      <c r="B118" t="s">
        <v>11</v>
      </c>
      <c r="C118" t="s">
        <v>7</v>
      </c>
      <c r="D118">
        <v>162</v>
      </c>
      <c r="E118">
        <v>9</v>
      </c>
      <c r="F118" s="6">
        <v>0.75</v>
      </c>
    </row>
    <row r="119" spans="1:6" x14ac:dyDescent="0.35">
      <c r="A119" s="1">
        <v>45667</v>
      </c>
      <c r="B119" t="s">
        <v>11</v>
      </c>
      <c r="C119" t="s">
        <v>7</v>
      </c>
      <c r="D119">
        <v>125</v>
      </c>
      <c r="E119">
        <v>14</v>
      </c>
      <c r="F119" s="6">
        <v>0.85</v>
      </c>
    </row>
    <row r="120" spans="1:6" x14ac:dyDescent="0.35">
      <c r="A120" s="1">
        <v>45712</v>
      </c>
      <c r="B120" t="s">
        <v>6</v>
      </c>
      <c r="C120" t="s">
        <v>8</v>
      </c>
      <c r="D120">
        <v>30</v>
      </c>
      <c r="E120">
        <v>9</v>
      </c>
      <c r="F120" s="6">
        <v>0.81</v>
      </c>
    </row>
    <row r="121" spans="1:6" x14ac:dyDescent="0.35">
      <c r="A121" s="1">
        <v>45676</v>
      </c>
      <c r="B121" t="s">
        <v>10</v>
      </c>
      <c r="C121" t="s">
        <v>8</v>
      </c>
      <c r="D121">
        <v>41</v>
      </c>
      <c r="E121">
        <v>8</v>
      </c>
      <c r="F121" s="6">
        <v>0.82</v>
      </c>
    </row>
    <row r="122" spans="1:6" x14ac:dyDescent="0.35">
      <c r="A122" s="1">
        <v>45682</v>
      </c>
      <c r="B122" t="s">
        <v>6</v>
      </c>
      <c r="C122" t="s">
        <v>9</v>
      </c>
      <c r="D122">
        <v>182</v>
      </c>
      <c r="E122">
        <v>5</v>
      </c>
      <c r="F122" s="6">
        <v>0.65</v>
      </c>
    </row>
    <row r="123" spans="1:6" x14ac:dyDescent="0.35">
      <c r="A123" s="1">
        <v>45671</v>
      </c>
      <c r="B123" t="s">
        <v>6</v>
      </c>
      <c r="C123" t="s">
        <v>9</v>
      </c>
      <c r="D123">
        <v>169</v>
      </c>
      <c r="E123">
        <v>12</v>
      </c>
      <c r="F123" s="6">
        <v>0.85</v>
      </c>
    </row>
    <row r="124" spans="1:6" x14ac:dyDescent="0.35">
      <c r="A124" s="1">
        <v>45722</v>
      </c>
      <c r="B124" t="s">
        <v>10</v>
      </c>
      <c r="C124" t="s">
        <v>8</v>
      </c>
      <c r="D124">
        <v>194</v>
      </c>
      <c r="E124">
        <v>9</v>
      </c>
      <c r="F124" s="6">
        <v>0.77</v>
      </c>
    </row>
    <row r="125" spans="1:6" x14ac:dyDescent="0.35">
      <c r="A125" s="1">
        <v>45685</v>
      </c>
      <c r="B125" t="s">
        <v>6</v>
      </c>
      <c r="C125" t="s">
        <v>7</v>
      </c>
      <c r="D125">
        <v>132</v>
      </c>
      <c r="E125">
        <v>5</v>
      </c>
      <c r="F125" s="6">
        <v>0.8</v>
      </c>
    </row>
    <row r="126" spans="1:6" x14ac:dyDescent="0.35">
      <c r="A126" s="1">
        <v>45730</v>
      </c>
      <c r="B126" t="s">
        <v>11</v>
      </c>
      <c r="C126" t="s">
        <v>7</v>
      </c>
      <c r="D126">
        <v>183</v>
      </c>
      <c r="E126">
        <v>4</v>
      </c>
      <c r="F126" s="6">
        <v>0.77</v>
      </c>
    </row>
    <row r="127" spans="1:6" x14ac:dyDescent="0.35">
      <c r="A127" s="1">
        <v>45688</v>
      </c>
      <c r="B127" t="s">
        <v>11</v>
      </c>
      <c r="C127" t="s">
        <v>7</v>
      </c>
      <c r="D127">
        <v>50</v>
      </c>
      <c r="E127">
        <v>5</v>
      </c>
      <c r="F127" s="6">
        <v>0.66</v>
      </c>
    </row>
    <row r="128" spans="1:6" x14ac:dyDescent="0.35">
      <c r="A128" s="1">
        <v>45677</v>
      </c>
      <c r="B128" t="s">
        <v>6</v>
      </c>
      <c r="C128" t="s">
        <v>9</v>
      </c>
      <c r="D128">
        <v>106</v>
      </c>
      <c r="E128">
        <v>8</v>
      </c>
      <c r="F128" s="6">
        <v>0.84</v>
      </c>
    </row>
    <row r="129" spans="1:6" x14ac:dyDescent="0.35">
      <c r="A129" s="1">
        <v>45744</v>
      </c>
      <c r="B129" t="s">
        <v>10</v>
      </c>
      <c r="C129" t="s">
        <v>12</v>
      </c>
      <c r="D129">
        <v>154</v>
      </c>
      <c r="E129">
        <v>14</v>
      </c>
      <c r="F129" s="6">
        <v>0.73</v>
      </c>
    </row>
    <row r="130" spans="1:6" x14ac:dyDescent="0.35">
      <c r="A130" s="1">
        <v>45744</v>
      </c>
      <c r="B130" t="s">
        <v>6</v>
      </c>
      <c r="C130" t="s">
        <v>8</v>
      </c>
      <c r="D130">
        <v>61</v>
      </c>
      <c r="E130">
        <v>6</v>
      </c>
      <c r="F130" s="6">
        <v>0.85</v>
      </c>
    </row>
    <row r="131" spans="1:6" x14ac:dyDescent="0.35">
      <c r="A131" s="1">
        <v>45658</v>
      </c>
      <c r="B131" t="s">
        <v>10</v>
      </c>
      <c r="C131" t="s">
        <v>7</v>
      </c>
      <c r="D131">
        <v>120</v>
      </c>
      <c r="E131">
        <v>13</v>
      </c>
      <c r="F131" s="6">
        <v>0.86</v>
      </c>
    </row>
    <row r="132" spans="1:6" x14ac:dyDescent="0.35">
      <c r="A132" s="1">
        <v>45666</v>
      </c>
      <c r="B132" t="s">
        <v>6</v>
      </c>
      <c r="C132" t="s">
        <v>12</v>
      </c>
      <c r="D132">
        <v>72</v>
      </c>
      <c r="E132">
        <v>8</v>
      </c>
      <c r="F132" s="6">
        <v>0.93</v>
      </c>
    </row>
    <row r="133" spans="1:6" x14ac:dyDescent="0.35">
      <c r="A133" s="1">
        <v>45669</v>
      </c>
      <c r="B133" t="s">
        <v>10</v>
      </c>
      <c r="C133" t="s">
        <v>7</v>
      </c>
      <c r="D133">
        <v>101</v>
      </c>
      <c r="E133">
        <v>11</v>
      </c>
      <c r="F133" s="6">
        <v>0.66</v>
      </c>
    </row>
    <row r="134" spans="1:6" x14ac:dyDescent="0.35">
      <c r="A134" s="1">
        <v>45697</v>
      </c>
      <c r="B134" t="s">
        <v>10</v>
      </c>
      <c r="C134" t="s">
        <v>8</v>
      </c>
      <c r="D134">
        <v>150</v>
      </c>
      <c r="E134">
        <v>15</v>
      </c>
      <c r="F134" s="6">
        <v>0.79</v>
      </c>
    </row>
    <row r="135" spans="1:6" x14ac:dyDescent="0.35">
      <c r="A135" s="1">
        <v>45662</v>
      </c>
      <c r="B135" t="s">
        <v>6</v>
      </c>
      <c r="C135" t="s">
        <v>9</v>
      </c>
      <c r="D135">
        <v>117</v>
      </c>
      <c r="E135">
        <v>10</v>
      </c>
      <c r="F135" s="6">
        <v>0.95</v>
      </c>
    </row>
    <row r="136" spans="1:6" x14ac:dyDescent="0.35">
      <c r="A136" s="1">
        <v>45696</v>
      </c>
      <c r="B136" t="s">
        <v>6</v>
      </c>
      <c r="C136" t="s">
        <v>9</v>
      </c>
      <c r="D136">
        <v>164</v>
      </c>
      <c r="E136">
        <v>15</v>
      </c>
      <c r="F136" s="6">
        <v>0.85</v>
      </c>
    </row>
    <row r="137" spans="1:6" x14ac:dyDescent="0.35">
      <c r="A137" s="1">
        <v>45702</v>
      </c>
      <c r="B137" t="s">
        <v>10</v>
      </c>
      <c r="C137" t="s">
        <v>9</v>
      </c>
      <c r="D137">
        <v>25</v>
      </c>
      <c r="E137">
        <v>6</v>
      </c>
      <c r="F137" s="6">
        <v>0.88</v>
      </c>
    </row>
    <row r="138" spans="1:6" x14ac:dyDescent="0.35">
      <c r="A138" s="1">
        <v>45724</v>
      </c>
      <c r="B138" t="s">
        <v>6</v>
      </c>
      <c r="C138" t="s">
        <v>7</v>
      </c>
      <c r="D138">
        <v>56</v>
      </c>
      <c r="E138">
        <v>10</v>
      </c>
      <c r="F138" s="6">
        <v>0.84</v>
      </c>
    </row>
    <row r="139" spans="1:6" x14ac:dyDescent="0.35">
      <c r="A139" s="1">
        <v>45671</v>
      </c>
      <c r="B139" t="s">
        <v>10</v>
      </c>
      <c r="C139" t="s">
        <v>7</v>
      </c>
      <c r="D139">
        <v>134</v>
      </c>
      <c r="E139">
        <v>8</v>
      </c>
      <c r="F139" s="6">
        <v>0.95</v>
      </c>
    </row>
    <row r="140" spans="1:6" x14ac:dyDescent="0.35">
      <c r="A140" s="1">
        <v>45679</v>
      </c>
      <c r="B140" t="s">
        <v>11</v>
      </c>
      <c r="C140" t="s">
        <v>8</v>
      </c>
      <c r="D140">
        <v>33</v>
      </c>
      <c r="E140">
        <v>10</v>
      </c>
      <c r="F140" s="6">
        <v>0.82</v>
      </c>
    </row>
    <row r="141" spans="1:6" x14ac:dyDescent="0.35">
      <c r="A141" s="1">
        <v>45733</v>
      </c>
      <c r="B141" t="s">
        <v>10</v>
      </c>
      <c r="C141" t="s">
        <v>8</v>
      </c>
      <c r="D141">
        <v>170</v>
      </c>
      <c r="E141">
        <v>6</v>
      </c>
      <c r="F141" s="6">
        <v>0.77</v>
      </c>
    </row>
    <row r="142" spans="1:6" x14ac:dyDescent="0.35">
      <c r="A142" s="1">
        <v>45670</v>
      </c>
      <c r="B142" t="s">
        <v>11</v>
      </c>
      <c r="C142" t="s">
        <v>9</v>
      </c>
      <c r="D142">
        <v>97</v>
      </c>
      <c r="E142">
        <v>11</v>
      </c>
      <c r="F142" s="6">
        <v>0.89</v>
      </c>
    </row>
    <row r="143" spans="1:6" x14ac:dyDescent="0.35">
      <c r="A143" s="1">
        <v>45699</v>
      </c>
      <c r="B143" t="s">
        <v>10</v>
      </c>
      <c r="C143" t="s">
        <v>12</v>
      </c>
      <c r="D143">
        <v>141</v>
      </c>
      <c r="E143">
        <v>11</v>
      </c>
      <c r="F143" s="6">
        <v>0.83</v>
      </c>
    </row>
    <row r="144" spans="1:6" x14ac:dyDescent="0.35">
      <c r="A144" s="1">
        <v>45709</v>
      </c>
      <c r="B144" t="s">
        <v>11</v>
      </c>
      <c r="C144" t="s">
        <v>8</v>
      </c>
      <c r="D144">
        <v>171</v>
      </c>
      <c r="E144">
        <v>12</v>
      </c>
      <c r="F144" s="6">
        <v>0.88</v>
      </c>
    </row>
    <row r="145" spans="1:6" x14ac:dyDescent="0.35">
      <c r="A145" s="1">
        <v>45658</v>
      </c>
      <c r="B145" t="s">
        <v>6</v>
      </c>
      <c r="C145" t="s">
        <v>12</v>
      </c>
      <c r="D145">
        <v>112</v>
      </c>
      <c r="E145">
        <v>4</v>
      </c>
      <c r="F145" s="6">
        <v>0.87</v>
      </c>
    </row>
    <row r="146" spans="1:6" x14ac:dyDescent="0.35">
      <c r="A146" s="1">
        <v>45724</v>
      </c>
      <c r="B146" t="s">
        <v>11</v>
      </c>
      <c r="C146" t="s">
        <v>12</v>
      </c>
      <c r="D146">
        <v>18</v>
      </c>
      <c r="E146">
        <v>9</v>
      </c>
      <c r="F146" s="6">
        <v>0.92</v>
      </c>
    </row>
    <row r="147" spans="1:6" x14ac:dyDescent="0.35">
      <c r="A147" s="1">
        <v>45685</v>
      </c>
      <c r="B147" t="s">
        <v>10</v>
      </c>
      <c r="C147" t="s">
        <v>9</v>
      </c>
      <c r="D147">
        <v>128</v>
      </c>
      <c r="E147">
        <v>9</v>
      </c>
      <c r="F147" s="6">
        <v>0.71</v>
      </c>
    </row>
    <row r="148" spans="1:6" x14ac:dyDescent="0.35">
      <c r="A148" s="1">
        <v>45741</v>
      </c>
      <c r="B148" t="s">
        <v>6</v>
      </c>
      <c r="C148" t="s">
        <v>8</v>
      </c>
      <c r="D148">
        <v>56</v>
      </c>
      <c r="E148">
        <v>7</v>
      </c>
      <c r="F148" s="6">
        <v>0.77</v>
      </c>
    </row>
    <row r="149" spans="1:6" x14ac:dyDescent="0.35">
      <c r="A149" s="1">
        <v>45689</v>
      </c>
      <c r="B149" t="s">
        <v>11</v>
      </c>
      <c r="C149" t="s">
        <v>8</v>
      </c>
      <c r="D149">
        <v>64</v>
      </c>
      <c r="E149">
        <v>4</v>
      </c>
      <c r="F149" s="6">
        <v>0.88</v>
      </c>
    </row>
    <row r="150" spans="1:6" x14ac:dyDescent="0.35">
      <c r="A150" s="1">
        <v>45703</v>
      </c>
      <c r="B150" t="s">
        <v>10</v>
      </c>
      <c r="C150" t="s">
        <v>9</v>
      </c>
      <c r="D150">
        <v>80</v>
      </c>
      <c r="E150">
        <v>7</v>
      </c>
      <c r="F150" s="6">
        <v>0.79</v>
      </c>
    </row>
    <row r="151" spans="1:6" x14ac:dyDescent="0.35">
      <c r="A151" s="1">
        <v>45737</v>
      </c>
      <c r="B151" t="s">
        <v>6</v>
      </c>
      <c r="C151" t="s">
        <v>8</v>
      </c>
      <c r="D151">
        <v>181</v>
      </c>
      <c r="E151">
        <v>12</v>
      </c>
      <c r="F151" s="6">
        <v>0.65</v>
      </c>
    </row>
    <row r="152" spans="1:6" x14ac:dyDescent="0.35">
      <c r="A152" s="1">
        <v>45730</v>
      </c>
      <c r="B152" t="s">
        <v>11</v>
      </c>
      <c r="C152" t="s">
        <v>12</v>
      </c>
      <c r="D152">
        <v>185</v>
      </c>
      <c r="E152">
        <v>6</v>
      </c>
      <c r="F152" s="6">
        <v>0.72</v>
      </c>
    </row>
    <row r="153" spans="1:6" x14ac:dyDescent="0.35">
      <c r="A153" s="1">
        <v>45658</v>
      </c>
      <c r="B153" t="s">
        <v>11</v>
      </c>
      <c r="C153" t="s">
        <v>9</v>
      </c>
      <c r="D153">
        <v>40</v>
      </c>
      <c r="E153">
        <v>9</v>
      </c>
      <c r="F153" s="6">
        <v>0.8</v>
      </c>
    </row>
    <row r="154" spans="1:6" x14ac:dyDescent="0.35">
      <c r="A154" s="1">
        <v>45672</v>
      </c>
      <c r="B154" t="s">
        <v>10</v>
      </c>
      <c r="C154" t="s">
        <v>7</v>
      </c>
      <c r="D154">
        <v>17</v>
      </c>
      <c r="E154">
        <v>6</v>
      </c>
      <c r="F154" s="6">
        <v>0.94</v>
      </c>
    </row>
    <row r="155" spans="1:6" x14ac:dyDescent="0.35">
      <c r="A155" s="1">
        <v>45681</v>
      </c>
      <c r="B155" t="s">
        <v>11</v>
      </c>
      <c r="C155" t="s">
        <v>12</v>
      </c>
      <c r="D155">
        <v>36</v>
      </c>
      <c r="E155">
        <v>5</v>
      </c>
      <c r="F155" s="6">
        <v>0.71</v>
      </c>
    </row>
    <row r="156" spans="1:6" x14ac:dyDescent="0.35">
      <c r="A156" s="1">
        <v>45685</v>
      </c>
      <c r="B156" t="s">
        <v>6</v>
      </c>
      <c r="C156" t="s">
        <v>9</v>
      </c>
      <c r="D156">
        <v>137</v>
      </c>
      <c r="E156">
        <v>8</v>
      </c>
      <c r="F156" s="6">
        <v>0.91</v>
      </c>
    </row>
    <row r="157" spans="1:6" x14ac:dyDescent="0.35">
      <c r="A157" s="1">
        <v>45718</v>
      </c>
      <c r="B157" t="s">
        <v>11</v>
      </c>
      <c r="C157" t="s">
        <v>9</v>
      </c>
      <c r="D157">
        <v>58</v>
      </c>
      <c r="E157">
        <v>15</v>
      </c>
      <c r="F157" s="6">
        <v>0.8</v>
      </c>
    </row>
    <row r="158" spans="1:6" x14ac:dyDescent="0.35">
      <c r="A158" s="1">
        <v>45717</v>
      </c>
      <c r="B158" t="s">
        <v>6</v>
      </c>
      <c r="C158" t="s">
        <v>7</v>
      </c>
      <c r="D158">
        <v>192</v>
      </c>
      <c r="E158">
        <v>11</v>
      </c>
      <c r="F158" s="6">
        <v>0.78</v>
      </c>
    </row>
    <row r="159" spans="1:6" x14ac:dyDescent="0.35">
      <c r="A159" s="1">
        <v>45740</v>
      </c>
      <c r="B159" t="s">
        <v>6</v>
      </c>
      <c r="C159" t="s">
        <v>7</v>
      </c>
      <c r="D159">
        <v>141</v>
      </c>
      <c r="E159">
        <v>14</v>
      </c>
      <c r="F159" s="6">
        <v>0.7</v>
      </c>
    </row>
    <row r="160" spans="1:6" x14ac:dyDescent="0.35">
      <c r="A160" s="1">
        <v>45706</v>
      </c>
      <c r="B160" t="s">
        <v>10</v>
      </c>
      <c r="C160" t="s">
        <v>12</v>
      </c>
      <c r="D160">
        <v>133</v>
      </c>
      <c r="E160">
        <v>7</v>
      </c>
      <c r="F160" s="6">
        <v>0.66</v>
      </c>
    </row>
    <row r="161" spans="1:6" x14ac:dyDescent="0.35">
      <c r="A161" s="1">
        <v>45671</v>
      </c>
      <c r="B161" t="s">
        <v>6</v>
      </c>
      <c r="C161" t="s">
        <v>8</v>
      </c>
      <c r="D161">
        <v>164</v>
      </c>
      <c r="E161">
        <v>6</v>
      </c>
      <c r="F161" s="6">
        <v>0.94</v>
      </c>
    </row>
    <row r="162" spans="1:6" x14ac:dyDescent="0.35">
      <c r="A162" s="1">
        <v>45690</v>
      </c>
      <c r="B162" t="s">
        <v>11</v>
      </c>
      <c r="C162" t="s">
        <v>9</v>
      </c>
      <c r="D162">
        <v>57</v>
      </c>
      <c r="E162">
        <v>10</v>
      </c>
      <c r="F162" s="6">
        <v>0.9</v>
      </c>
    </row>
    <row r="163" spans="1:6" x14ac:dyDescent="0.35">
      <c r="A163" s="1">
        <v>45713</v>
      </c>
      <c r="B163" t="s">
        <v>10</v>
      </c>
      <c r="C163" t="s">
        <v>12</v>
      </c>
      <c r="D163">
        <v>189</v>
      </c>
      <c r="E163">
        <v>8</v>
      </c>
      <c r="F163" s="6">
        <v>0.82</v>
      </c>
    </row>
    <row r="164" spans="1:6" x14ac:dyDescent="0.35">
      <c r="A164" s="1">
        <v>45734</v>
      </c>
      <c r="B164" t="s">
        <v>10</v>
      </c>
      <c r="C164" t="s">
        <v>9</v>
      </c>
      <c r="D164">
        <v>74</v>
      </c>
      <c r="E164">
        <v>15</v>
      </c>
      <c r="F164" s="6">
        <v>0.69</v>
      </c>
    </row>
    <row r="165" spans="1:6" x14ac:dyDescent="0.35">
      <c r="A165" s="1">
        <v>45734</v>
      </c>
      <c r="B165" t="s">
        <v>6</v>
      </c>
      <c r="C165" t="s">
        <v>8</v>
      </c>
      <c r="D165">
        <v>105</v>
      </c>
      <c r="E165">
        <v>8</v>
      </c>
      <c r="F165" s="6">
        <v>0.67</v>
      </c>
    </row>
    <row r="166" spans="1:6" x14ac:dyDescent="0.35">
      <c r="A166" s="1">
        <v>45661</v>
      </c>
      <c r="B166" t="s">
        <v>6</v>
      </c>
      <c r="C166" t="s">
        <v>8</v>
      </c>
      <c r="D166">
        <v>129</v>
      </c>
      <c r="E166">
        <v>8</v>
      </c>
      <c r="F166" s="6">
        <v>0.65</v>
      </c>
    </row>
    <row r="167" spans="1:6" x14ac:dyDescent="0.35">
      <c r="A167" s="1">
        <v>45678</v>
      </c>
      <c r="B167" t="s">
        <v>6</v>
      </c>
      <c r="C167" t="s">
        <v>9</v>
      </c>
      <c r="D167">
        <v>32</v>
      </c>
      <c r="E167">
        <v>4</v>
      </c>
      <c r="F167" s="6">
        <v>0.93</v>
      </c>
    </row>
    <row r="168" spans="1:6" x14ac:dyDescent="0.35">
      <c r="A168" s="1">
        <v>45707</v>
      </c>
      <c r="B168" t="s">
        <v>11</v>
      </c>
      <c r="C168" t="s">
        <v>9</v>
      </c>
      <c r="D168">
        <v>134</v>
      </c>
      <c r="E168">
        <v>10</v>
      </c>
      <c r="F168" s="6">
        <v>0.89</v>
      </c>
    </row>
    <row r="169" spans="1:6" x14ac:dyDescent="0.35">
      <c r="A169" s="1">
        <v>45707</v>
      </c>
      <c r="B169" t="s">
        <v>6</v>
      </c>
      <c r="C169" t="s">
        <v>7</v>
      </c>
      <c r="D169">
        <v>106</v>
      </c>
      <c r="E169">
        <v>12</v>
      </c>
      <c r="F169" s="6">
        <v>0.76</v>
      </c>
    </row>
    <row r="170" spans="1:6" x14ac:dyDescent="0.35">
      <c r="A170" s="1">
        <v>45699</v>
      </c>
      <c r="B170" t="s">
        <v>11</v>
      </c>
      <c r="C170" t="s">
        <v>12</v>
      </c>
      <c r="D170">
        <v>161</v>
      </c>
      <c r="E170">
        <v>7</v>
      </c>
      <c r="F170" s="6">
        <v>0.68</v>
      </c>
    </row>
    <row r="171" spans="1:6" x14ac:dyDescent="0.35">
      <c r="A171" s="1">
        <v>45743</v>
      </c>
      <c r="B171" t="s">
        <v>6</v>
      </c>
      <c r="C171" t="s">
        <v>8</v>
      </c>
      <c r="D171">
        <v>174</v>
      </c>
      <c r="E171">
        <v>4</v>
      </c>
      <c r="F171" s="6">
        <v>0.83</v>
      </c>
    </row>
    <row r="172" spans="1:6" x14ac:dyDescent="0.35">
      <c r="A172" s="1">
        <v>45712</v>
      </c>
      <c r="B172" t="s">
        <v>6</v>
      </c>
      <c r="C172" t="s">
        <v>9</v>
      </c>
      <c r="D172">
        <v>36</v>
      </c>
      <c r="E172">
        <v>4</v>
      </c>
      <c r="F172" s="6">
        <v>0.81</v>
      </c>
    </row>
    <row r="173" spans="1:6" x14ac:dyDescent="0.35">
      <c r="A173" s="1">
        <v>45721</v>
      </c>
      <c r="B173" t="s">
        <v>11</v>
      </c>
      <c r="C173" t="s">
        <v>12</v>
      </c>
      <c r="D173">
        <v>180</v>
      </c>
      <c r="E173">
        <v>4</v>
      </c>
      <c r="F173" s="6">
        <v>0.77</v>
      </c>
    </row>
    <row r="174" spans="1:6" x14ac:dyDescent="0.35">
      <c r="A174" s="1">
        <v>45727</v>
      </c>
      <c r="B174" t="s">
        <v>10</v>
      </c>
      <c r="C174" t="s">
        <v>9</v>
      </c>
      <c r="D174">
        <v>15</v>
      </c>
      <c r="E174">
        <v>4</v>
      </c>
      <c r="F174" s="6">
        <v>0.68</v>
      </c>
    </row>
    <row r="175" spans="1:6" x14ac:dyDescent="0.35">
      <c r="A175" s="1">
        <v>45715</v>
      </c>
      <c r="B175" t="s">
        <v>6</v>
      </c>
      <c r="C175" t="s">
        <v>12</v>
      </c>
      <c r="D175">
        <v>40</v>
      </c>
      <c r="E175">
        <v>4</v>
      </c>
      <c r="F175" s="6">
        <v>0.74</v>
      </c>
    </row>
    <row r="176" spans="1:6" x14ac:dyDescent="0.35">
      <c r="A176" s="1">
        <v>45739</v>
      </c>
      <c r="B176" t="s">
        <v>6</v>
      </c>
      <c r="C176" t="s">
        <v>9</v>
      </c>
      <c r="D176">
        <v>174</v>
      </c>
      <c r="E176">
        <v>10</v>
      </c>
      <c r="F176" s="6">
        <v>0.91</v>
      </c>
    </row>
    <row r="177" spans="1:6" x14ac:dyDescent="0.35">
      <c r="A177" s="1">
        <v>45693</v>
      </c>
      <c r="B177" t="s">
        <v>6</v>
      </c>
      <c r="C177" t="s">
        <v>9</v>
      </c>
      <c r="D177">
        <v>183</v>
      </c>
      <c r="E177">
        <v>15</v>
      </c>
      <c r="F177" s="6">
        <v>0.92</v>
      </c>
    </row>
    <row r="178" spans="1:6" x14ac:dyDescent="0.35">
      <c r="A178" s="1">
        <v>45687</v>
      </c>
      <c r="B178" t="s">
        <v>6</v>
      </c>
      <c r="C178" t="s">
        <v>8</v>
      </c>
      <c r="D178">
        <v>106</v>
      </c>
      <c r="E178">
        <v>10</v>
      </c>
      <c r="F178" s="6">
        <v>0.93</v>
      </c>
    </row>
    <row r="179" spans="1:6" x14ac:dyDescent="0.35">
      <c r="A179" s="1">
        <v>45710</v>
      </c>
      <c r="B179" t="s">
        <v>6</v>
      </c>
      <c r="C179" t="s">
        <v>7</v>
      </c>
      <c r="D179">
        <v>14</v>
      </c>
      <c r="E179">
        <v>14</v>
      </c>
      <c r="F179" s="6">
        <v>0.68</v>
      </c>
    </row>
    <row r="180" spans="1:6" x14ac:dyDescent="0.35">
      <c r="A180" s="1">
        <v>45712</v>
      </c>
      <c r="B180" t="s">
        <v>11</v>
      </c>
      <c r="C180" t="s">
        <v>9</v>
      </c>
      <c r="D180">
        <v>149</v>
      </c>
      <c r="E180">
        <v>13</v>
      </c>
      <c r="F180" s="6">
        <v>0.73</v>
      </c>
    </row>
    <row r="181" spans="1:6" x14ac:dyDescent="0.35">
      <c r="A181" s="1">
        <v>45743</v>
      </c>
      <c r="B181" t="s">
        <v>6</v>
      </c>
      <c r="C181" t="s">
        <v>12</v>
      </c>
      <c r="D181">
        <v>149</v>
      </c>
      <c r="E181">
        <v>12</v>
      </c>
      <c r="F181" s="6">
        <v>0.9</v>
      </c>
    </row>
    <row r="182" spans="1:6" x14ac:dyDescent="0.35">
      <c r="A182" s="1">
        <v>45694</v>
      </c>
      <c r="B182" t="s">
        <v>10</v>
      </c>
      <c r="C182" t="s">
        <v>9</v>
      </c>
      <c r="D182">
        <v>157</v>
      </c>
      <c r="E182">
        <v>11</v>
      </c>
      <c r="F182" s="6">
        <v>0.75</v>
      </c>
    </row>
    <row r="183" spans="1:6" x14ac:dyDescent="0.35">
      <c r="A183" s="1">
        <v>45676</v>
      </c>
      <c r="B183" t="s">
        <v>11</v>
      </c>
      <c r="C183" t="s">
        <v>12</v>
      </c>
      <c r="D183">
        <v>81</v>
      </c>
      <c r="E183">
        <v>11</v>
      </c>
      <c r="F183" s="6">
        <v>0.7</v>
      </c>
    </row>
    <row r="184" spans="1:6" x14ac:dyDescent="0.35">
      <c r="A184" s="1">
        <v>45690</v>
      </c>
      <c r="B184" t="s">
        <v>10</v>
      </c>
      <c r="C184" t="s">
        <v>8</v>
      </c>
      <c r="D184">
        <v>94</v>
      </c>
      <c r="E184">
        <v>14</v>
      </c>
      <c r="F184" s="6">
        <v>0.71</v>
      </c>
    </row>
    <row r="185" spans="1:6" x14ac:dyDescent="0.35">
      <c r="A185" s="1">
        <v>45660</v>
      </c>
      <c r="B185" t="s">
        <v>6</v>
      </c>
      <c r="C185" t="s">
        <v>7</v>
      </c>
      <c r="D185">
        <v>138</v>
      </c>
      <c r="E185">
        <v>5</v>
      </c>
      <c r="F185" s="6">
        <v>0.78</v>
      </c>
    </row>
    <row r="186" spans="1:6" x14ac:dyDescent="0.35">
      <c r="A186" s="1">
        <v>45707</v>
      </c>
      <c r="B186" t="s">
        <v>6</v>
      </c>
      <c r="C186" t="s">
        <v>7</v>
      </c>
      <c r="D186">
        <v>127</v>
      </c>
      <c r="E186">
        <v>13</v>
      </c>
      <c r="F186" s="6">
        <v>0.76</v>
      </c>
    </row>
    <row r="187" spans="1:6" x14ac:dyDescent="0.35">
      <c r="A187" s="1">
        <v>45705</v>
      </c>
      <c r="B187" t="s">
        <v>10</v>
      </c>
      <c r="C187" t="s">
        <v>8</v>
      </c>
      <c r="D187">
        <v>57</v>
      </c>
      <c r="E187">
        <v>14</v>
      </c>
      <c r="F187" s="6">
        <v>0.7</v>
      </c>
    </row>
    <row r="188" spans="1:6" x14ac:dyDescent="0.35">
      <c r="A188" s="1">
        <v>45739</v>
      </c>
      <c r="B188" t="s">
        <v>10</v>
      </c>
      <c r="C188" t="s">
        <v>12</v>
      </c>
      <c r="D188">
        <v>145</v>
      </c>
      <c r="E188">
        <v>8</v>
      </c>
      <c r="F188" s="6">
        <v>0.87</v>
      </c>
    </row>
    <row r="189" spans="1:6" x14ac:dyDescent="0.35">
      <c r="A189" s="1">
        <v>45685</v>
      </c>
      <c r="B189" t="s">
        <v>10</v>
      </c>
      <c r="C189" t="s">
        <v>12</v>
      </c>
      <c r="D189">
        <v>148</v>
      </c>
      <c r="E189">
        <v>11</v>
      </c>
      <c r="F189" s="6">
        <v>0.84</v>
      </c>
    </row>
    <row r="190" spans="1:6" x14ac:dyDescent="0.35">
      <c r="A190" s="1">
        <v>45738</v>
      </c>
      <c r="B190" t="s">
        <v>6</v>
      </c>
      <c r="C190" t="s">
        <v>8</v>
      </c>
      <c r="D190">
        <v>131</v>
      </c>
      <c r="E190">
        <v>4</v>
      </c>
      <c r="F190" s="6">
        <v>0.83</v>
      </c>
    </row>
    <row r="191" spans="1:6" x14ac:dyDescent="0.35">
      <c r="A191" s="1">
        <v>45671</v>
      </c>
      <c r="B191" t="s">
        <v>6</v>
      </c>
      <c r="C191" t="s">
        <v>7</v>
      </c>
      <c r="D191">
        <v>150</v>
      </c>
      <c r="E191">
        <v>8</v>
      </c>
      <c r="F191" s="6">
        <v>0.94</v>
      </c>
    </row>
    <row r="192" spans="1:6" x14ac:dyDescent="0.35">
      <c r="A192" s="1">
        <v>45692</v>
      </c>
      <c r="B192" t="s">
        <v>6</v>
      </c>
      <c r="C192" t="s">
        <v>7</v>
      </c>
      <c r="D192">
        <v>94</v>
      </c>
      <c r="E192">
        <v>6</v>
      </c>
      <c r="F192" s="6">
        <v>0.95</v>
      </c>
    </row>
    <row r="193" spans="1:6" x14ac:dyDescent="0.35">
      <c r="A193" s="1">
        <v>45662</v>
      </c>
      <c r="B193" t="s">
        <v>11</v>
      </c>
      <c r="C193" t="s">
        <v>8</v>
      </c>
      <c r="D193">
        <v>26</v>
      </c>
      <c r="E193">
        <v>11</v>
      </c>
      <c r="F193" s="6">
        <v>0.65</v>
      </c>
    </row>
    <row r="194" spans="1:6" x14ac:dyDescent="0.35">
      <c r="A194" s="1">
        <v>45673</v>
      </c>
      <c r="B194" t="s">
        <v>6</v>
      </c>
      <c r="C194" t="s">
        <v>7</v>
      </c>
      <c r="D194">
        <v>195</v>
      </c>
      <c r="E194">
        <v>12</v>
      </c>
      <c r="F194" s="6">
        <v>0.72</v>
      </c>
    </row>
    <row r="195" spans="1:6" x14ac:dyDescent="0.35">
      <c r="A195" s="1">
        <v>45734</v>
      </c>
      <c r="B195" t="s">
        <v>11</v>
      </c>
      <c r="C195" t="s">
        <v>8</v>
      </c>
      <c r="D195">
        <v>99</v>
      </c>
      <c r="E195">
        <v>12</v>
      </c>
      <c r="F195" s="6">
        <v>0.92</v>
      </c>
    </row>
    <row r="196" spans="1:6" x14ac:dyDescent="0.35">
      <c r="A196" s="1">
        <v>45666</v>
      </c>
      <c r="B196" t="s">
        <v>11</v>
      </c>
      <c r="C196" t="s">
        <v>8</v>
      </c>
      <c r="D196">
        <v>106</v>
      </c>
      <c r="E196">
        <v>15</v>
      </c>
      <c r="F196" s="6">
        <v>0.72</v>
      </c>
    </row>
    <row r="197" spans="1:6" x14ac:dyDescent="0.35">
      <c r="A197" s="1">
        <v>45673</v>
      </c>
      <c r="B197" t="s">
        <v>6</v>
      </c>
      <c r="C197" t="s">
        <v>8</v>
      </c>
      <c r="D197">
        <v>106</v>
      </c>
      <c r="E197">
        <v>14</v>
      </c>
      <c r="F197" s="6">
        <v>0.94</v>
      </c>
    </row>
    <row r="198" spans="1:6" x14ac:dyDescent="0.35">
      <c r="A198" s="1">
        <v>45670</v>
      </c>
      <c r="B198" t="s">
        <v>10</v>
      </c>
      <c r="C198" t="s">
        <v>8</v>
      </c>
      <c r="D198">
        <v>200</v>
      </c>
      <c r="E198">
        <v>7</v>
      </c>
      <c r="F198" s="6">
        <v>0.91</v>
      </c>
    </row>
    <row r="199" spans="1:6" x14ac:dyDescent="0.35">
      <c r="A199" s="1">
        <v>45667</v>
      </c>
      <c r="B199" t="s">
        <v>11</v>
      </c>
      <c r="C199" t="s">
        <v>12</v>
      </c>
      <c r="D199">
        <v>30</v>
      </c>
      <c r="E199">
        <v>7</v>
      </c>
      <c r="F199" s="6">
        <v>0.77</v>
      </c>
    </row>
    <row r="200" spans="1:6" x14ac:dyDescent="0.35">
      <c r="A200" s="1">
        <v>45697</v>
      </c>
      <c r="B200" t="s">
        <v>11</v>
      </c>
      <c r="C200" t="s">
        <v>8</v>
      </c>
      <c r="D200">
        <v>53</v>
      </c>
      <c r="E200">
        <v>13</v>
      </c>
      <c r="F200" s="6">
        <v>0.68</v>
      </c>
    </row>
    <row r="201" spans="1:6" x14ac:dyDescent="0.35">
      <c r="A201" s="1">
        <v>45699</v>
      </c>
      <c r="B201" t="s">
        <v>11</v>
      </c>
      <c r="C201" t="s">
        <v>9</v>
      </c>
      <c r="D201">
        <v>113</v>
      </c>
      <c r="E201">
        <v>11</v>
      </c>
      <c r="F201" s="6">
        <v>0.74</v>
      </c>
    </row>
    <row r="202" spans="1:6" x14ac:dyDescent="0.35">
      <c r="A202" s="1">
        <v>45720</v>
      </c>
      <c r="B202" t="s">
        <v>11</v>
      </c>
      <c r="C202" t="s">
        <v>8</v>
      </c>
      <c r="D202">
        <v>194</v>
      </c>
      <c r="E202">
        <v>8</v>
      </c>
      <c r="F202" s="6">
        <v>0.72</v>
      </c>
    </row>
    <row r="203" spans="1:6" x14ac:dyDescent="0.35">
      <c r="A203" s="1">
        <v>45696</v>
      </c>
      <c r="B203" t="s">
        <v>6</v>
      </c>
      <c r="C203" t="s">
        <v>8</v>
      </c>
      <c r="D203">
        <v>14</v>
      </c>
      <c r="E203">
        <v>12</v>
      </c>
      <c r="F203" s="6">
        <v>0.89</v>
      </c>
    </row>
    <row r="204" spans="1:6" x14ac:dyDescent="0.35">
      <c r="A204" s="1">
        <v>45678</v>
      </c>
      <c r="B204" t="s">
        <v>6</v>
      </c>
      <c r="C204" t="s">
        <v>8</v>
      </c>
      <c r="D204">
        <v>53</v>
      </c>
      <c r="E204">
        <v>4</v>
      </c>
      <c r="F204" s="6">
        <v>0.95</v>
      </c>
    </row>
    <row r="205" spans="1:6" x14ac:dyDescent="0.35">
      <c r="A205" s="1">
        <v>45697</v>
      </c>
      <c r="B205" t="s">
        <v>10</v>
      </c>
      <c r="C205" t="s">
        <v>7</v>
      </c>
      <c r="D205">
        <v>199</v>
      </c>
      <c r="E205">
        <v>12</v>
      </c>
      <c r="F205" s="6">
        <v>0.66</v>
      </c>
    </row>
    <row r="206" spans="1:6" x14ac:dyDescent="0.35">
      <c r="A206" s="1">
        <v>45706</v>
      </c>
      <c r="B206" t="s">
        <v>10</v>
      </c>
      <c r="C206" t="s">
        <v>7</v>
      </c>
      <c r="D206">
        <v>77</v>
      </c>
      <c r="E206">
        <v>14</v>
      </c>
      <c r="F206" s="6">
        <v>0.72</v>
      </c>
    </row>
    <row r="207" spans="1:6" x14ac:dyDescent="0.35">
      <c r="A207" s="1">
        <v>45685</v>
      </c>
      <c r="B207" t="s">
        <v>6</v>
      </c>
      <c r="C207" t="s">
        <v>8</v>
      </c>
      <c r="D207">
        <v>168</v>
      </c>
      <c r="E207">
        <v>10</v>
      </c>
      <c r="F207" s="6">
        <v>0.84</v>
      </c>
    </row>
    <row r="208" spans="1:6" x14ac:dyDescent="0.35">
      <c r="A208" s="1">
        <v>45684</v>
      </c>
      <c r="B208" t="s">
        <v>11</v>
      </c>
      <c r="C208" t="s">
        <v>9</v>
      </c>
      <c r="D208">
        <v>164</v>
      </c>
      <c r="E208">
        <v>4</v>
      </c>
      <c r="F208" s="6">
        <v>0.74</v>
      </c>
    </row>
    <row r="209" spans="1:6" x14ac:dyDescent="0.35">
      <c r="A209" s="1">
        <v>45716</v>
      </c>
      <c r="B209" t="s">
        <v>11</v>
      </c>
      <c r="C209" t="s">
        <v>8</v>
      </c>
      <c r="D209">
        <v>68</v>
      </c>
      <c r="E209">
        <v>14</v>
      </c>
      <c r="F209" s="6">
        <v>0.9</v>
      </c>
    </row>
    <row r="210" spans="1:6" x14ac:dyDescent="0.35">
      <c r="A210" s="1">
        <v>45677</v>
      </c>
      <c r="B210" t="s">
        <v>11</v>
      </c>
      <c r="C210" t="s">
        <v>12</v>
      </c>
      <c r="D210">
        <v>129</v>
      </c>
      <c r="E210">
        <v>6</v>
      </c>
      <c r="F210" s="6">
        <v>0.66</v>
      </c>
    </row>
    <row r="211" spans="1:6" x14ac:dyDescent="0.35">
      <c r="A211" s="1">
        <v>45745</v>
      </c>
      <c r="B211" t="s">
        <v>10</v>
      </c>
      <c r="C211" t="s">
        <v>9</v>
      </c>
      <c r="D211">
        <v>123</v>
      </c>
      <c r="E211">
        <v>12</v>
      </c>
      <c r="F211" s="6">
        <v>0.91</v>
      </c>
    </row>
    <row r="212" spans="1:6" x14ac:dyDescent="0.35">
      <c r="A212" s="1">
        <v>45717</v>
      </c>
      <c r="B212" t="s">
        <v>11</v>
      </c>
      <c r="C212" t="s">
        <v>9</v>
      </c>
      <c r="D212">
        <v>131</v>
      </c>
      <c r="E212">
        <v>10</v>
      </c>
      <c r="F212" s="6">
        <v>0.67</v>
      </c>
    </row>
    <row r="213" spans="1:6" x14ac:dyDescent="0.35">
      <c r="A213" s="1">
        <v>45673</v>
      </c>
      <c r="B213" t="s">
        <v>10</v>
      </c>
      <c r="C213" t="s">
        <v>7</v>
      </c>
      <c r="D213">
        <v>176</v>
      </c>
      <c r="E213">
        <v>5</v>
      </c>
      <c r="F213" s="6">
        <v>0.75</v>
      </c>
    </row>
    <row r="214" spans="1:6" x14ac:dyDescent="0.35">
      <c r="A214" s="1">
        <v>45743</v>
      </c>
      <c r="B214" t="s">
        <v>11</v>
      </c>
      <c r="C214" t="s">
        <v>9</v>
      </c>
      <c r="D214">
        <v>10</v>
      </c>
      <c r="E214">
        <v>14</v>
      </c>
      <c r="F214" s="6">
        <v>0.75</v>
      </c>
    </row>
    <row r="215" spans="1:6" x14ac:dyDescent="0.35">
      <c r="A215" s="1">
        <v>45684</v>
      </c>
      <c r="B215" t="s">
        <v>11</v>
      </c>
      <c r="C215" t="s">
        <v>9</v>
      </c>
      <c r="D215">
        <v>186</v>
      </c>
      <c r="E215">
        <v>5</v>
      </c>
      <c r="F215" s="6">
        <v>0.88</v>
      </c>
    </row>
    <row r="216" spans="1:6" x14ac:dyDescent="0.35">
      <c r="A216" s="1">
        <v>45697</v>
      </c>
      <c r="B216" t="s">
        <v>10</v>
      </c>
      <c r="C216" t="s">
        <v>8</v>
      </c>
      <c r="D216">
        <v>151</v>
      </c>
      <c r="E216">
        <v>15</v>
      </c>
      <c r="F216" s="6">
        <v>0.7</v>
      </c>
    </row>
    <row r="217" spans="1:6" x14ac:dyDescent="0.35">
      <c r="A217" s="1">
        <v>45718</v>
      </c>
      <c r="B217" t="s">
        <v>11</v>
      </c>
      <c r="C217" t="s">
        <v>7</v>
      </c>
      <c r="D217">
        <v>200</v>
      </c>
      <c r="E217">
        <v>7</v>
      </c>
      <c r="F217" s="6">
        <v>0.65</v>
      </c>
    </row>
    <row r="218" spans="1:6" x14ac:dyDescent="0.35">
      <c r="A218" s="1">
        <v>45713</v>
      </c>
      <c r="B218" t="s">
        <v>10</v>
      </c>
      <c r="C218" t="s">
        <v>8</v>
      </c>
      <c r="D218">
        <v>52</v>
      </c>
      <c r="E218">
        <v>7</v>
      </c>
      <c r="F218" s="6">
        <v>0.73</v>
      </c>
    </row>
    <row r="219" spans="1:6" x14ac:dyDescent="0.35">
      <c r="A219" s="1">
        <v>45684</v>
      </c>
      <c r="B219" t="s">
        <v>10</v>
      </c>
      <c r="C219" t="s">
        <v>12</v>
      </c>
      <c r="D219">
        <v>137</v>
      </c>
      <c r="E219">
        <v>6</v>
      </c>
      <c r="F219" s="6">
        <v>0.68</v>
      </c>
    </row>
    <row r="220" spans="1:6" x14ac:dyDescent="0.35">
      <c r="A220" s="1">
        <v>45667</v>
      </c>
      <c r="B220" t="s">
        <v>6</v>
      </c>
      <c r="C220" t="s">
        <v>7</v>
      </c>
      <c r="D220">
        <v>131</v>
      </c>
      <c r="E220">
        <v>6</v>
      </c>
      <c r="F220" s="6">
        <v>0.9</v>
      </c>
    </row>
    <row r="221" spans="1:6" x14ac:dyDescent="0.35">
      <c r="A221" s="1">
        <v>45709</v>
      </c>
      <c r="B221" t="s">
        <v>6</v>
      </c>
      <c r="C221" t="s">
        <v>7</v>
      </c>
      <c r="D221">
        <v>88</v>
      </c>
      <c r="E221">
        <v>11</v>
      </c>
      <c r="F221" s="6">
        <v>0.88</v>
      </c>
    </row>
    <row r="222" spans="1:6" x14ac:dyDescent="0.35">
      <c r="A222" s="1">
        <v>45691</v>
      </c>
      <c r="B222" t="s">
        <v>10</v>
      </c>
      <c r="C222" t="s">
        <v>12</v>
      </c>
      <c r="D222">
        <v>108</v>
      </c>
      <c r="E222">
        <v>11</v>
      </c>
      <c r="F222" s="6">
        <v>0.67</v>
      </c>
    </row>
    <row r="223" spans="1:6" x14ac:dyDescent="0.35">
      <c r="A223" s="1">
        <v>45742</v>
      </c>
      <c r="B223" t="s">
        <v>10</v>
      </c>
      <c r="C223" t="s">
        <v>7</v>
      </c>
      <c r="D223">
        <v>78</v>
      </c>
      <c r="E223">
        <v>7</v>
      </c>
      <c r="F223" s="6">
        <v>0.88</v>
      </c>
    </row>
    <row r="224" spans="1:6" x14ac:dyDescent="0.35">
      <c r="A224" s="1">
        <v>45698</v>
      </c>
      <c r="B224" t="s">
        <v>11</v>
      </c>
      <c r="C224" t="s">
        <v>7</v>
      </c>
      <c r="D224">
        <v>116</v>
      </c>
      <c r="E224">
        <v>11</v>
      </c>
      <c r="F224" s="6">
        <v>0.81</v>
      </c>
    </row>
    <row r="225" spans="1:6" x14ac:dyDescent="0.35">
      <c r="A225" s="1">
        <v>45658</v>
      </c>
      <c r="B225" t="s">
        <v>10</v>
      </c>
      <c r="C225" t="s">
        <v>7</v>
      </c>
      <c r="D225">
        <v>122</v>
      </c>
      <c r="E225">
        <v>12</v>
      </c>
      <c r="F225" s="6">
        <v>0.74</v>
      </c>
    </row>
    <row r="226" spans="1:6" x14ac:dyDescent="0.35">
      <c r="A226" s="1">
        <v>45698</v>
      </c>
      <c r="B226" t="s">
        <v>10</v>
      </c>
      <c r="C226" t="s">
        <v>7</v>
      </c>
      <c r="D226">
        <v>125</v>
      </c>
      <c r="E226">
        <v>4</v>
      </c>
      <c r="F226" s="6">
        <v>0.65</v>
      </c>
    </row>
    <row r="227" spans="1:6" x14ac:dyDescent="0.35">
      <c r="A227" s="1">
        <v>45733</v>
      </c>
      <c r="B227" t="s">
        <v>10</v>
      </c>
      <c r="C227" t="s">
        <v>7</v>
      </c>
      <c r="D227">
        <v>113</v>
      </c>
      <c r="E227">
        <v>15</v>
      </c>
      <c r="F227" s="6">
        <v>0.82</v>
      </c>
    </row>
    <row r="228" spans="1:6" x14ac:dyDescent="0.35">
      <c r="A228" s="1">
        <v>45715</v>
      </c>
      <c r="B228" t="s">
        <v>11</v>
      </c>
      <c r="C228" t="s">
        <v>7</v>
      </c>
      <c r="D228">
        <v>189</v>
      </c>
      <c r="E228">
        <v>14</v>
      </c>
      <c r="F228" s="6">
        <v>0.66</v>
      </c>
    </row>
    <row r="229" spans="1:6" x14ac:dyDescent="0.35">
      <c r="A229" s="1">
        <v>45733</v>
      </c>
      <c r="B229" t="s">
        <v>11</v>
      </c>
      <c r="C229" t="s">
        <v>9</v>
      </c>
      <c r="D229">
        <v>10</v>
      </c>
      <c r="E229">
        <v>14</v>
      </c>
      <c r="F229" s="6">
        <v>0.9</v>
      </c>
    </row>
    <row r="230" spans="1:6" x14ac:dyDescent="0.35">
      <c r="A230" s="1">
        <v>45727</v>
      </c>
      <c r="B230" t="s">
        <v>11</v>
      </c>
      <c r="C230" t="s">
        <v>9</v>
      </c>
      <c r="D230">
        <v>31</v>
      </c>
      <c r="E230">
        <v>8</v>
      </c>
      <c r="F230" s="6">
        <v>0.81</v>
      </c>
    </row>
    <row r="231" spans="1:6" x14ac:dyDescent="0.35">
      <c r="A231" s="1">
        <v>45667</v>
      </c>
      <c r="B231" t="s">
        <v>6</v>
      </c>
      <c r="C231" t="s">
        <v>9</v>
      </c>
      <c r="D231">
        <v>73</v>
      </c>
      <c r="E231">
        <v>8</v>
      </c>
      <c r="F231" s="6">
        <v>0.93</v>
      </c>
    </row>
    <row r="232" spans="1:6" x14ac:dyDescent="0.35">
      <c r="A232" s="1">
        <v>45741</v>
      </c>
      <c r="B232" t="s">
        <v>11</v>
      </c>
      <c r="C232" t="s">
        <v>7</v>
      </c>
      <c r="D232">
        <v>22</v>
      </c>
      <c r="E232">
        <v>6</v>
      </c>
      <c r="F232" s="6">
        <v>0.74</v>
      </c>
    </row>
    <row r="233" spans="1:6" x14ac:dyDescent="0.35">
      <c r="A233" s="1">
        <v>45668</v>
      </c>
      <c r="B233" t="s">
        <v>6</v>
      </c>
      <c r="C233" t="s">
        <v>8</v>
      </c>
      <c r="D233">
        <v>18</v>
      </c>
      <c r="E233">
        <v>5</v>
      </c>
      <c r="F233" s="6">
        <v>0.73</v>
      </c>
    </row>
    <row r="234" spans="1:6" x14ac:dyDescent="0.35">
      <c r="A234" s="1">
        <v>45660</v>
      </c>
      <c r="B234" t="s">
        <v>6</v>
      </c>
      <c r="C234" t="s">
        <v>7</v>
      </c>
      <c r="D234">
        <v>196</v>
      </c>
      <c r="E234">
        <v>12</v>
      </c>
      <c r="F234" s="6">
        <v>0.67</v>
      </c>
    </row>
    <row r="235" spans="1:6" x14ac:dyDescent="0.35">
      <c r="A235" s="1">
        <v>45735</v>
      </c>
      <c r="B235" t="s">
        <v>11</v>
      </c>
      <c r="C235" t="s">
        <v>12</v>
      </c>
      <c r="D235">
        <v>111</v>
      </c>
      <c r="E235">
        <v>12</v>
      </c>
      <c r="F235" s="6">
        <v>0.83</v>
      </c>
    </row>
    <row r="236" spans="1:6" x14ac:dyDescent="0.35">
      <c r="A236" s="1">
        <v>45661</v>
      </c>
      <c r="B236" t="s">
        <v>11</v>
      </c>
      <c r="C236" t="s">
        <v>7</v>
      </c>
      <c r="D236">
        <v>142</v>
      </c>
      <c r="E236">
        <v>10</v>
      </c>
      <c r="F236" s="6">
        <v>0.9</v>
      </c>
    </row>
    <row r="237" spans="1:6" x14ac:dyDescent="0.35">
      <c r="A237" s="1">
        <v>45678</v>
      </c>
      <c r="B237" t="s">
        <v>10</v>
      </c>
      <c r="C237" t="s">
        <v>8</v>
      </c>
      <c r="D237">
        <v>83</v>
      </c>
      <c r="E237">
        <v>13</v>
      </c>
      <c r="F237" s="6">
        <v>0.9</v>
      </c>
    </row>
    <row r="238" spans="1:6" x14ac:dyDescent="0.35">
      <c r="A238" s="1">
        <v>45712</v>
      </c>
      <c r="B238" t="s">
        <v>10</v>
      </c>
      <c r="C238" t="s">
        <v>8</v>
      </c>
      <c r="D238">
        <v>148</v>
      </c>
      <c r="E238">
        <v>15</v>
      </c>
      <c r="F238" s="6">
        <v>0.89</v>
      </c>
    </row>
    <row r="239" spans="1:6" x14ac:dyDescent="0.35">
      <c r="A239" s="1">
        <v>45672</v>
      </c>
      <c r="B239" t="s">
        <v>10</v>
      </c>
      <c r="C239" t="s">
        <v>9</v>
      </c>
      <c r="D239">
        <v>161</v>
      </c>
      <c r="E239">
        <v>15</v>
      </c>
      <c r="F239" s="6">
        <v>0.82</v>
      </c>
    </row>
    <row r="240" spans="1:6" x14ac:dyDescent="0.35">
      <c r="A240" s="1">
        <v>45670</v>
      </c>
      <c r="B240" t="s">
        <v>6</v>
      </c>
      <c r="C240" t="s">
        <v>8</v>
      </c>
      <c r="D240">
        <v>146</v>
      </c>
      <c r="E240">
        <v>10</v>
      </c>
      <c r="F240" s="6">
        <v>0.77</v>
      </c>
    </row>
    <row r="241" spans="1:6" x14ac:dyDescent="0.35">
      <c r="A241" s="1">
        <v>45669</v>
      </c>
      <c r="B241" t="s">
        <v>6</v>
      </c>
      <c r="C241" t="s">
        <v>8</v>
      </c>
      <c r="D241">
        <v>32</v>
      </c>
      <c r="E241">
        <v>9</v>
      </c>
      <c r="F241" s="6">
        <v>0.91</v>
      </c>
    </row>
    <row r="242" spans="1:6" x14ac:dyDescent="0.35">
      <c r="A242" s="1">
        <v>45658</v>
      </c>
      <c r="B242" t="s">
        <v>6</v>
      </c>
      <c r="C242" t="s">
        <v>12</v>
      </c>
      <c r="D242">
        <v>11</v>
      </c>
      <c r="E242">
        <v>12</v>
      </c>
      <c r="F242" s="6">
        <v>0.87</v>
      </c>
    </row>
    <row r="243" spans="1:6" x14ac:dyDescent="0.35">
      <c r="A243" s="1">
        <v>45709</v>
      </c>
      <c r="B243" t="s">
        <v>11</v>
      </c>
      <c r="C243" t="s">
        <v>8</v>
      </c>
      <c r="D243">
        <v>81</v>
      </c>
      <c r="E243">
        <v>15</v>
      </c>
      <c r="F243" s="6">
        <v>0.78</v>
      </c>
    </row>
    <row r="244" spans="1:6" x14ac:dyDescent="0.35">
      <c r="A244" s="1">
        <v>45688</v>
      </c>
      <c r="B244" t="s">
        <v>6</v>
      </c>
      <c r="C244" t="s">
        <v>9</v>
      </c>
      <c r="D244">
        <v>96</v>
      </c>
      <c r="E244">
        <v>12</v>
      </c>
      <c r="F244" s="6">
        <v>0.85</v>
      </c>
    </row>
    <row r="245" spans="1:6" x14ac:dyDescent="0.35">
      <c r="A245" s="1">
        <v>45736</v>
      </c>
      <c r="B245" t="s">
        <v>11</v>
      </c>
      <c r="C245" t="s">
        <v>12</v>
      </c>
      <c r="D245">
        <v>11</v>
      </c>
      <c r="E245">
        <v>13</v>
      </c>
      <c r="F245" s="6">
        <v>0.67</v>
      </c>
    </row>
    <row r="246" spans="1:6" x14ac:dyDescent="0.35">
      <c r="A246" s="1">
        <v>45711</v>
      </c>
      <c r="B246" t="s">
        <v>10</v>
      </c>
      <c r="C246" t="s">
        <v>9</v>
      </c>
      <c r="D246">
        <v>81</v>
      </c>
      <c r="E246">
        <v>12</v>
      </c>
      <c r="F246" s="6">
        <v>0.82</v>
      </c>
    </row>
    <row r="247" spans="1:6" x14ac:dyDescent="0.35">
      <c r="A247" s="1">
        <v>45701</v>
      </c>
      <c r="B247" t="s">
        <v>6</v>
      </c>
      <c r="C247" t="s">
        <v>9</v>
      </c>
      <c r="D247">
        <v>171</v>
      </c>
      <c r="E247">
        <v>4</v>
      </c>
      <c r="F247" s="6">
        <v>0.65</v>
      </c>
    </row>
    <row r="248" spans="1:6" x14ac:dyDescent="0.35">
      <c r="A248" s="1">
        <v>45667</v>
      </c>
      <c r="B248" t="s">
        <v>6</v>
      </c>
      <c r="C248" t="s">
        <v>8</v>
      </c>
      <c r="D248">
        <v>148</v>
      </c>
      <c r="E248">
        <v>5</v>
      </c>
      <c r="F248" s="6">
        <v>0.76</v>
      </c>
    </row>
    <row r="249" spans="1:6" x14ac:dyDescent="0.35">
      <c r="A249" s="1">
        <v>45696</v>
      </c>
      <c r="B249" t="s">
        <v>6</v>
      </c>
      <c r="C249" t="s">
        <v>8</v>
      </c>
      <c r="D249">
        <v>45</v>
      </c>
      <c r="E249">
        <v>12</v>
      </c>
      <c r="F249" s="6">
        <v>0.92</v>
      </c>
    </row>
    <row r="250" spans="1:6" x14ac:dyDescent="0.35">
      <c r="A250" s="1">
        <v>45676</v>
      </c>
      <c r="B250" t="s">
        <v>6</v>
      </c>
      <c r="C250" t="s">
        <v>8</v>
      </c>
      <c r="D250">
        <v>54</v>
      </c>
      <c r="E250">
        <v>10</v>
      </c>
      <c r="F250" s="6">
        <v>0.94</v>
      </c>
    </row>
    <row r="251" spans="1:6" x14ac:dyDescent="0.35">
      <c r="A251" s="1">
        <v>45691</v>
      </c>
      <c r="B251" t="s">
        <v>6</v>
      </c>
      <c r="C251" t="s">
        <v>12</v>
      </c>
      <c r="D251">
        <v>107</v>
      </c>
      <c r="E251">
        <v>8</v>
      </c>
      <c r="F251" s="6">
        <v>0.76</v>
      </c>
    </row>
    <row r="252" spans="1:6" x14ac:dyDescent="0.35">
      <c r="A252" s="1">
        <v>45732</v>
      </c>
      <c r="B252" t="s">
        <v>11</v>
      </c>
      <c r="C252" t="s">
        <v>8</v>
      </c>
      <c r="D252">
        <v>107</v>
      </c>
      <c r="E252">
        <v>8</v>
      </c>
      <c r="F252" s="6">
        <v>0.78</v>
      </c>
    </row>
    <row r="253" spans="1:6" x14ac:dyDescent="0.35">
      <c r="A253" s="1">
        <v>45669</v>
      </c>
      <c r="B253" t="s">
        <v>10</v>
      </c>
      <c r="C253" t="s">
        <v>12</v>
      </c>
      <c r="D253">
        <v>148</v>
      </c>
      <c r="E253">
        <v>7</v>
      </c>
      <c r="F253" s="6">
        <v>0.65</v>
      </c>
    </row>
    <row r="254" spans="1:6" x14ac:dyDescent="0.35">
      <c r="A254" s="1">
        <v>45662</v>
      </c>
      <c r="B254" t="s">
        <v>6</v>
      </c>
      <c r="C254" t="s">
        <v>8</v>
      </c>
      <c r="D254">
        <v>107</v>
      </c>
      <c r="E254">
        <v>7</v>
      </c>
      <c r="F254" s="6">
        <v>0.85</v>
      </c>
    </row>
    <row r="255" spans="1:6" x14ac:dyDescent="0.35">
      <c r="A255" s="1">
        <v>45678</v>
      </c>
      <c r="B255" t="s">
        <v>6</v>
      </c>
      <c r="C255" t="s">
        <v>12</v>
      </c>
      <c r="D255">
        <v>47</v>
      </c>
      <c r="E255">
        <v>5</v>
      </c>
      <c r="F255" s="6">
        <v>0.78</v>
      </c>
    </row>
    <row r="256" spans="1:6" x14ac:dyDescent="0.35">
      <c r="A256" s="1">
        <v>45683</v>
      </c>
      <c r="B256" t="s">
        <v>6</v>
      </c>
      <c r="C256" t="s">
        <v>7</v>
      </c>
      <c r="D256">
        <v>180</v>
      </c>
      <c r="E256">
        <v>5</v>
      </c>
      <c r="F256" s="6">
        <v>0.95</v>
      </c>
    </row>
    <row r="257" spans="1:6" x14ac:dyDescent="0.35">
      <c r="A257" s="1">
        <v>45738</v>
      </c>
      <c r="B257" t="s">
        <v>6</v>
      </c>
      <c r="C257" t="s">
        <v>12</v>
      </c>
      <c r="D257">
        <v>194</v>
      </c>
      <c r="E257">
        <v>14</v>
      </c>
      <c r="F257" s="6">
        <v>0.8</v>
      </c>
    </row>
    <row r="258" spans="1:6" x14ac:dyDescent="0.35">
      <c r="A258" s="1">
        <v>45702</v>
      </c>
      <c r="B258" t="s">
        <v>6</v>
      </c>
      <c r="C258" t="s">
        <v>9</v>
      </c>
      <c r="D258">
        <v>70</v>
      </c>
      <c r="E258">
        <v>9</v>
      </c>
      <c r="F258" s="6">
        <v>0.86</v>
      </c>
    </row>
    <row r="259" spans="1:6" x14ac:dyDescent="0.35">
      <c r="A259" s="1">
        <v>45677</v>
      </c>
      <c r="B259" t="s">
        <v>11</v>
      </c>
      <c r="C259" t="s">
        <v>12</v>
      </c>
      <c r="D259">
        <v>173</v>
      </c>
      <c r="E259">
        <v>6</v>
      </c>
      <c r="F259" s="6">
        <v>0.65</v>
      </c>
    </row>
    <row r="260" spans="1:6" x14ac:dyDescent="0.35">
      <c r="A260" s="1">
        <v>45696</v>
      </c>
      <c r="B260" t="s">
        <v>11</v>
      </c>
      <c r="C260" t="s">
        <v>7</v>
      </c>
      <c r="D260">
        <v>161</v>
      </c>
      <c r="E260">
        <v>11</v>
      </c>
      <c r="F260" s="6">
        <v>0.66</v>
      </c>
    </row>
    <row r="261" spans="1:6" x14ac:dyDescent="0.35">
      <c r="A261" s="1">
        <v>45708</v>
      </c>
      <c r="B261" t="s">
        <v>6</v>
      </c>
      <c r="C261" t="s">
        <v>12</v>
      </c>
      <c r="D261">
        <v>122</v>
      </c>
      <c r="E261">
        <v>8</v>
      </c>
      <c r="F261" s="6">
        <v>0.76</v>
      </c>
    </row>
    <row r="262" spans="1:6" x14ac:dyDescent="0.35">
      <c r="A262" s="1">
        <v>45700</v>
      </c>
      <c r="B262" t="s">
        <v>10</v>
      </c>
      <c r="C262" t="s">
        <v>12</v>
      </c>
      <c r="D262">
        <v>180</v>
      </c>
      <c r="E262">
        <v>12</v>
      </c>
      <c r="F262" s="6">
        <v>0.69</v>
      </c>
    </row>
    <row r="263" spans="1:6" x14ac:dyDescent="0.35">
      <c r="A263" s="1">
        <v>45675</v>
      </c>
      <c r="B263" t="s">
        <v>6</v>
      </c>
      <c r="C263" t="s">
        <v>9</v>
      </c>
      <c r="D263">
        <v>12</v>
      </c>
      <c r="E263">
        <v>7</v>
      </c>
      <c r="F263" s="6">
        <v>0.88</v>
      </c>
    </row>
    <row r="264" spans="1:6" x14ac:dyDescent="0.35">
      <c r="A264" s="1">
        <v>45712</v>
      </c>
      <c r="B264" t="s">
        <v>11</v>
      </c>
      <c r="C264" t="s">
        <v>7</v>
      </c>
      <c r="D264">
        <v>59</v>
      </c>
      <c r="E264">
        <v>14</v>
      </c>
      <c r="F264" s="6">
        <v>0.89</v>
      </c>
    </row>
    <row r="265" spans="1:6" x14ac:dyDescent="0.35">
      <c r="A265" s="1">
        <v>45724</v>
      </c>
      <c r="B265" t="s">
        <v>10</v>
      </c>
      <c r="C265" t="s">
        <v>8</v>
      </c>
      <c r="D265">
        <v>169</v>
      </c>
      <c r="E265">
        <v>5</v>
      </c>
      <c r="F265" s="6">
        <v>0.66</v>
      </c>
    </row>
    <row r="266" spans="1:6" x14ac:dyDescent="0.35">
      <c r="A266" s="1">
        <v>45694</v>
      </c>
      <c r="B266" t="s">
        <v>6</v>
      </c>
      <c r="C266" t="s">
        <v>7</v>
      </c>
      <c r="D266">
        <v>23</v>
      </c>
      <c r="E266">
        <v>15</v>
      </c>
      <c r="F266" s="6">
        <v>0.86</v>
      </c>
    </row>
    <row r="267" spans="1:6" x14ac:dyDescent="0.35">
      <c r="A267" s="1">
        <v>45744</v>
      </c>
      <c r="B267" t="s">
        <v>6</v>
      </c>
      <c r="C267" t="s">
        <v>12</v>
      </c>
      <c r="D267">
        <v>182</v>
      </c>
      <c r="E267">
        <v>15</v>
      </c>
      <c r="F267" s="6">
        <v>0.78</v>
      </c>
    </row>
    <row r="268" spans="1:6" x14ac:dyDescent="0.35">
      <c r="A268" s="1">
        <v>45736</v>
      </c>
      <c r="B268" t="s">
        <v>11</v>
      </c>
      <c r="C268" t="s">
        <v>8</v>
      </c>
      <c r="D268">
        <v>198</v>
      </c>
      <c r="E268">
        <v>12</v>
      </c>
      <c r="F268" s="6">
        <v>0.81</v>
      </c>
    </row>
    <row r="269" spans="1:6" x14ac:dyDescent="0.35">
      <c r="A269" s="1">
        <v>45719</v>
      </c>
      <c r="B269" t="s">
        <v>6</v>
      </c>
      <c r="C269" t="s">
        <v>12</v>
      </c>
      <c r="D269">
        <v>165</v>
      </c>
      <c r="E269">
        <v>8</v>
      </c>
      <c r="F269" s="6">
        <v>0.69</v>
      </c>
    </row>
    <row r="270" spans="1:6" x14ac:dyDescent="0.35">
      <c r="A270" s="1">
        <v>45696</v>
      </c>
      <c r="B270" t="s">
        <v>11</v>
      </c>
      <c r="C270" t="s">
        <v>12</v>
      </c>
      <c r="D270">
        <v>85</v>
      </c>
      <c r="E270">
        <v>12</v>
      </c>
      <c r="F270" s="6">
        <v>0.82</v>
      </c>
    </row>
    <row r="271" spans="1:6" x14ac:dyDescent="0.35">
      <c r="A271" s="1">
        <v>45664</v>
      </c>
      <c r="B271" t="s">
        <v>11</v>
      </c>
      <c r="C271" t="s">
        <v>8</v>
      </c>
      <c r="D271">
        <v>109</v>
      </c>
      <c r="E271">
        <v>15</v>
      </c>
      <c r="F271" s="6">
        <v>0.8</v>
      </c>
    </row>
    <row r="272" spans="1:6" x14ac:dyDescent="0.35">
      <c r="A272" s="1">
        <v>45661</v>
      </c>
      <c r="B272" t="s">
        <v>10</v>
      </c>
      <c r="C272" t="s">
        <v>9</v>
      </c>
      <c r="D272">
        <v>175</v>
      </c>
      <c r="E272">
        <v>14</v>
      </c>
      <c r="F272" s="6">
        <v>0.79</v>
      </c>
    </row>
    <row r="273" spans="1:6" x14ac:dyDescent="0.35">
      <c r="A273" s="1">
        <v>45712</v>
      </c>
      <c r="B273" t="s">
        <v>6</v>
      </c>
      <c r="C273" t="s">
        <v>7</v>
      </c>
      <c r="D273">
        <v>62</v>
      </c>
      <c r="E273">
        <v>11</v>
      </c>
      <c r="F273" s="6">
        <v>0.69</v>
      </c>
    </row>
    <row r="274" spans="1:6" x14ac:dyDescent="0.35">
      <c r="A274" s="1">
        <v>45732</v>
      </c>
      <c r="B274" t="s">
        <v>11</v>
      </c>
      <c r="C274" t="s">
        <v>8</v>
      </c>
      <c r="D274">
        <v>97</v>
      </c>
      <c r="E274">
        <v>6</v>
      </c>
      <c r="F274" s="6">
        <v>0.77</v>
      </c>
    </row>
    <row r="275" spans="1:6" x14ac:dyDescent="0.35">
      <c r="A275" s="1">
        <v>45717</v>
      </c>
      <c r="B275" t="s">
        <v>6</v>
      </c>
      <c r="C275" t="s">
        <v>7</v>
      </c>
      <c r="D275">
        <v>70</v>
      </c>
      <c r="E275">
        <v>6</v>
      </c>
      <c r="F275" s="6">
        <v>0.88</v>
      </c>
    </row>
    <row r="276" spans="1:6" x14ac:dyDescent="0.35">
      <c r="A276" s="1">
        <v>45669</v>
      </c>
      <c r="B276" t="s">
        <v>10</v>
      </c>
      <c r="C276" t="s">
        <v>7</v>
      </c>
      <c r="D276">
        <v>189</v>
      </c>
      <c r="E276">
        <v>10</v>
      </c>
      <c r="F276" s="6">
        <v>0.94</v>
      </c>
    </row>
    <row r="277" spans="1:6" x14ac:dyDescent="0.35">
      <c r="A277" s="1">
        <v>45711</v>
      </c>
      <c r="B277" t="s">
        <v>6</v>
      </c>
      <c r="C277" t="s">
        <v>8</v>
      </c>
      <c r="D277">
        <v>103</v>
      </c>
      <c r="E277">
        <v>9</v>
      </c>
      <c r="F277" s="6">
        <v>0.66</v>
      </c>
    </row>
    <row r="278" spans="1:6" x14ac:dyDescent="0.35">
      <c r="A278" s="1">
        <v>45710</v>
      </c>
      <c r="B278" t="s">
        <v>11</v>
      </c>
      <c r="C278" t="s">
        <v>8</v>
      </c>
      <c r="D278">
        <v>147</v>
      </c>
      <c r="E278">
        <v>11</v>
      </c>
      <c r="F278" s="6">
        <v>0.85</v>
      </c>
    </row>
    <row r="279" spans="1:6" x14ac:dyDescent="0.35">
      <c r="A279" s="1">
        <v>45683</v>
      </c>
      <c r="B279" t="s">
        <v>6</v>
      </c>
      <c r="C279" t="s">
        <v>12</v>
      </c>
      <c r="D279">
        <v>178</v>
      </c>
      <c r="E279">
        <v>14</v>
      </c>
      <c r="F279" s="6">
        <v>0.76</v>
      </c>
    </row>
    <row r="280" spans="1:6" x14ac:dyDescent="0.35">
      <c r="A280" s="1">
        <v>45676</v>
      </c>
      <c r="B280" t="s">
        <v>11</v>
      </c>
      <c r="C280" t="s">
        <v>7</v>
      </c>
      <c r="D280">
        <v>69</v>
      </c>
      <c r="E280">
        <v>15</v>
      </c>
      <c r="F280" s="6">
        <v>0.89</v>
      </c>
    </row>
    <row r="281" spans="1:6" x14ac:dyDescent="0.35">
      <c r="A281" s="1">
        <v>45665</v>
      </c>
      <c r="B281" t="s">
        <v>6</v>
      </c>
      <c r="C281" t="s">
        <v>7</v>
      </c>
      <c r="D281">
        <v>131</v>
      </c>
      <c r="E281">
        <v>13</v>
      </c>
      <c r="F281" s="6">
        <v>0.87</v>
      </c>
    </row>
    <row r="282" spans="1:6" x14ac:dyDescent="0.35">
      <c r="A282" s="1">
        <v>45664</v>
      </c>
      <c r="B282" t="s">
        <v>6</v>
      </c>
      <c r="C282" t="s">
        <v>9</v>
      </c>
      <c r="D282">
        <v>26</v>
      </c>
      <c r="E282">
        <v>7</v>
      </c>
      <c r="F282" s="6">
        <v>0.79</v>
      </c>
    </row>
    <row r="283" spans="1:6" x14ac:dyDescent="0.35">
      <c r="A283" s="1">
        <v>45721</v>
      </c>
      <c r="B283" t="s">
        <v>10</v>
      </c>
      <c r="C283" t="s">
        <v>7</v>
      </c>
      <c r="D283">
        <v>51</v>
      </c>
      <c r="E283">
        <v>7</v>
      </c>
      <c r="F283" s="6">
        <v>0.68</v>
      </c>
    </row>
    <row r="284" spans="1:6" x14ac:dyDescent="0.35">
      <c r="A284" s="1">
        <v>45700</v>
      </c>
      <c r="B284" t="s">
        <v>11</v>
      </c>
      <c r="C284" t="s">
        <v>9</v>
      </c>
      <c r="D284">
        <v>18</v>
      </c>
      <c r="E284">
        <v>15</v>
      </c>
      <c r="F284" s="6">
        <v>0.67</v>
      </c>
    </row>
    <row r="285" spans="1:6" x14ac:dyDescent="0.35">
      <c r="A285" s="1">
        <v>45718</v>
      </c>
      <c r="B285" t="s">
        <v>11</v>
      </c>
      <c r="C285" t="s">
        <v>8</v>
      </c>
      <c r="D285">
        <v>193</v>
      </c>
      <c r="E285">
        <v>12</v>
      </c>
      <c r="F285" s="6">
        <v>0.65</v>
      </c>
    </row>
    <row r="286" spans="1:6" x14ac:dyDescent="0.35">
      <c r="A286" s="1">
        <v>45737</v>
      </c>
      <c r="B286" t="s">
        <v>11</v>
      </c>
      <c r="C286" t="s">
        <v>12</v>
      </c>
      <c r="D286">
        <v>153</v>
      </c>
      <c r="E286">
        <v>9</v>
      </c>
      <c r="F286" s="6">
        <v>0.9</v>
      </c>
    </row>
    <row r="287" spans="1:6" x14ac:dyDescent="0.35">
      <c r="A287" s="1">
        <v>45671</v>
      </c>
      <c r="B287" t="s">
        <v>6</v>
      </c>
      <c r="C287" t="s">
        <v>12</v>
      </c>
      <c r="D287">
        <v>132</v>
      </c>
      <c r="E287">
        <v>8</v>
      </c>
      <c r="F287" s="6">
        <v>0.71</v>
      </c>
    </row>
    <row r="288" spans="1:6" x14ac:dyDescent="0.35">
      <c r="A288" s="1">
        <v>45723</v>
      </c>
      <c r="B288" t="s">
        <v>10</v>
      </c>
      <c r="C288" t="s">
        <v>7</v>
      </c>
      <c r="D288">
        <v>61</v>
      </c>
      <c r="E288">
        <v>6</v>
      </c>
      <c r="F288" s="6">
        <v>0.8</v>
      </c>
    </row>
    <row r="289" spans="1:6" x14ac:dyDescent="0.35">
      <c r="A289" s="1">
        <v>45677</v>
      </c>
      <c r="B289" t="s">
        <v>11</v>
      </c>
      <c r="C289" t="s">
        <v>9</v>
      </c>
      <c r="D289">
        <v>119</v>
      </c>
      <c r="E289">
        <v>4</v>
      </c>
      <c r="F289" s="6">
        <v>0.75</v>
      </c>
    </row>
    <row r="290" spans="1:6" x14ac:dyDescent="0.35">
      <c r="A290" s="1">
        <v>45733</v>
      </c>
      <c r="B290" t="s">
        <v>11</v>
      </c>
      <c r="C290" t="s">
        <v>8</v>
      </c>
      <c r="D290">
        <v>144</v>
      </c>
      <c r="E290">
        <v>12</v>
      </c>
      <c r="F290" s="6">
        <v>0.75</v>
      </c>
    </row>
    <row r="291" spans="1:6" x14ac:dyDescent="0.35">
      <c r="A291" s="1">
        <v>45700</v>
      </c>
      <c r="B291" t="s">
        <v>11</v>
      </c>
      <c r="C291" t="s">
        <v>7</v>
      </c>
      <c r="D291">
        <v>51</v>
      </c>
      <c r="E291">
        <v>12</v>
      </c>
      <c r="F291" s="6">
        <v>0.68</v>
      </c>
    </row>
    <row r="292" spans="1:6" x14ac:dyDescent="0.35">
      <c r="A292" s="1">
        <v>45726</v>
      </c>
      <c r="B292" t="s">
        <v>6</v>
      </c>
      <c r="C292" t="s">
        <v>9</v>
      </c>
      <c r="D292">
        <v>174</v>
      </c>
      <c r="E292">
        <v>8</v>
      </c>
      <c r="F292" s="6">
        <v>0.8</v>
      </c>
    </row>
    <row r="293" spans="1:6" x14ac:dyDescent="0.35">
      <c r="A293" s="1">
        <v>45742</v>
      </c>
      <c r="B293" t="s">
        <v>6</v>
      </c>
      <c r="C293" t="s">
        <v>12</v>
      </c>
      <c r="D293">
        <v>146</v>
      </c>
      <c r="E293">
        <v>5</v>
      </c>
      <c r="F293" s="6">
        <v>0.68</v>
      </c>
    </row>
    <row r="294" spans="1:6" x14ac:dyDescent="0.35">
      <c r="A294" s="1">
        <v>45665</v>
      </c>
      <c r="B294" t="s">
        <v>6</v>
      </c>
      <c r="C294" t="s">
        <v>7</v>
      </c>
      <c r="D294">
        <v>124</v>
      </c>
      <c r="E294">
        <v>7</v>
      </c>
      <c r="F294" s="6">
        <v>0.74</v>
      </c>
    </row>
    <row r="295" spans="1:6" x14ac:dyDescent="0.35">
      <c r="A295" s="1">
        <v>45658</v>
      </c>
      <c r="B295" t="s">
        <v>11</v>
      </c>
      <c r="C295" t="s">
        <v>12</v>
      </c>
      <c r="D295">
        <v>59</v>
      </c>
      <c r="E295">
        <v>13</v>
      </c>
      <c r="F295" s="6">
        <v>0.75</v>
      </c>
    </row>
    <row r="296" spans="1:6" x14ac:dyDescent="0.35">
      <c r="A296" s="1">
        <v>45730</v>
      </c>
      <c r="B296" t="s">
        <v>10</v>
      </c>
      <c r="C296" t="s">
        <v>7</v>
      </c>
      <c r="D296">
        <v>96</v>
      </c>
      <c r="E296">
        <v>11</v>
      </c>
      <c r="F296" s="6">
        <v>0.69</v>
      </c>
    </row>
    <row r="297" spans="1:6" x14ac:dyDescent="0.35">
      <c r="A297" s="1">
        <v>45681</v>
      </c>
      <c r="B297" t="s">
        <v>6</v>
      </c>
      <c r="C297" t="s">
        <v>9</v>
      </c>
      <c r="D297">
        <v>137</v>
      </c>
      <c r="E297">
        <v>6</v>
      </c>
      <c r="F297" s="6">
        <v>0.83</v>
      </c>
    </row>
    <row r="298" spans="1:6" x14ac:dyDescent="0.35">
      <c r="A298" s="1">
        <v>45669</v>
      </c>
      <c r="B298" t="s">
        <v>11</v>
      </c>
      <c r="C298" t="s">
        <v>7</v>
      </c>
      <c r="D298">
        <v>27</v>
      </c>
      <c r="E298">
        <v>10</v>
      </c>
      <c r="F298" s="6">
        <v>0.77</v>
      </c>
    </row>
    <row r="299" spans="1:6" x14ac:dyDescent="0.35">
      <c r="A299" s="1">
        <v>45686</v>
      </c>
      <c r="B299" t="s">
        <v>11</v>
      </c>
      <c r="C299" t="s">
        <v>12</v>
      </c>
      <c r="D299">
        <v>120</v>
      </c>
      <c r="E299">
        <v>6</v>
      </c>
      <c r="F299" s="6">
        <v>0.92</v>
      </c>
    </row>
    <row r="300" spans="1:6" x14ac:dyDescent="0.35">
      <c r="A300" s="1">
        <v>45688</v>
      </c>
      <c r="B300" t="s">
        <v>11</v>
      </c>
      <c r="C300" t="s">
        <v>8</v>
      </c>
      <c r="D300">
        <v>141</v>
      </c>
      <c r="E300">
        <v>10</v>
      </c>
      <c r="F300" s="6">
        <v>0.84</v>
      </c>
    </row>
    <row r="301" spans="1:6" x14ac:dyDescent="0.35">
      <c r="A301" s="1">
        <v>45659</v>
      </c>
      <c r="B301" t="s">
        <v>6</v>
      </c>
      <c r="C301" t="s">
        <v>7</v>
      </c>
      <c r="D301">
        <v>114</v>
      </c>
      <c r="E301">
        <v>12</v>
      </c>
      <c r="F301" s="6">
        <v>0.69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6506-8BE2-4D9B-8FF5-1E0A1B9AE55D}">
  <dimension ref="A3:B7"/>
  <sheetViews>
    <sheetView workbookViewId="0">
      <selection activeCell="B3" sqref="B3"/>
    </sheetView>
  </sheetViews>
  <sheetFormatPr baseColWidth="10" defaultRowHeight="14.5" x14ac:dyDescent="0.35"/>
  <cols>
    <col min="1" max="1" width="11.7265625" bestFit="1" customWidth="1"/>
    <col min="2" max="2" width="8.1796875" bestFit="1" customWidth="1"/>
  </cols>
  <sheetData>
    <row r="3" spans="1:2" x14ac:dyDescent="0.35">
      <c r="A3" s="2" t="s">
        <v>17</v>
      </c>
      <c r="B3" t="s">
        <v>22</v>
      </c>
    </row>
    <row r="4" spans="1:2" x14ac:dyDescent="0.35">
      <c r="A4" s="3" t="s">
        <v>14</v>
      </c>
      <c r="B4">
        <v>12331</v>
      </c>
    </row>
    <row r="5" spans="1:2" x14ac:dyDescent="0.35">
      <c r="A5" s="3" t="s">
        <v>15</v>
      </c>
      <c r="B5">
        <v>10897</v>
      </c>
    </row>
    <row r="6" spans="1:2" x14ac:dyDescent="0.35">
      <c r="A6" s="3" t="s">
        <v>16</v>
      </c>
      <c r="B6">
        <v>10166</v>
      </c>
    </row>
    <row r="7" spans="1:2" x14ac:dyDescent="0.35">
      <c r="A7" s="3" t="s">
        <v>13</v>
      </c>
      <c r="B7">
        <v>33394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D62B-60B6-42F5-AD40-5960536F6538}">
  <dimension ref="A3:B7"/>
  <sheetViews>
    <sheetView workbookViewId="0">
      <selection activeCell="B3" sqref="B3"/>
    </sheetView>
  </sheetViews>
  <sheetFormatPr baseColWidth="10" defaultRowHeight="14.5" x14ac:dyDescent="0.35"/>
  <cols>
    <col min="1" max="1" width="11.7265625" bestFit="1" customWidth="1"/>
    <col min="2" max="2" width="8.1796875" bestFit="1" customWidth="1"/>
  </cols>
  <sheetData>
    <row r="3" spans="1:2" x14ac:dyDescent="0.35">
      <c r="A3" s="2" t="s">
        <v>1</v>
      </c>
      <c r="B3" t="s">
        <v>22</v>
      </c>
    </row>
    <row r="4" spans="1:2" x14ac:dyDescent="0.35">
      <c r="A4" s="3" t="s">
        <v>10</v>
      </c>
      <c r="B4">
        <v>9643</v>
      </c>
    </row>
    <row r="5" spans="1:2" x14ac:dyDescent="0.35">
      <c r="A5" s="3" t="s">
        <v>11</v>
      </c>
      <c r="B5">
        <v>11054</v>
      </c>
    </row>
    <row r="6" spans="1:2" x14ac:dyDescent="0.35">
      <c r="A6" s="3" t="s">
        <v>6</v>
      </c>
      <c r="B6">
        <v>12697</v>
      </c>
    </row>
    <row r="7" spans="1:2" x14ac:dyDescent="0.35">
      <c r="A7" s="3" t="s">
        <v>13</v>
      </c>
      <c r="B7">
        <v>33394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2ED7-1252-488C-BF2B-8B126039D5CD}">
  <dimension ref="A3:B8"/>
  <sheetViews>
    <sheetView workbookViewId="0">
      <selection activeCell="B3" sqref="B3"/>
    </sheetView>
  </sheetViews>
  <sheetFormatPr baseColWidth="10" defaultRowHeight="14.5" x14ac:dyDescent="0.35"/>
  <cols>
    <col min="1" max="1" width="11.7265625" bestFit="1" customWidth="1"/>
    <col min="2" max="2" width="8.1796875" bestFit="1" customWidth="1"/>
  </cols>
  <sheetData>
    <row r="3" spans="1:2" x14ac:dyDescent="0.35">
      <c r="A3" s="2" t="s">
        <v>18</v>
      </c>
      <c r="B3" t="s">
        <v>22</v>
      </c>
    </row>
    <row r="4" spans="1:2" x14ac:dyDescent="0.35">
      <c r="A4" s="3" t="s">
        <v>9</v>
      </c>
      <c r="B4">
        <v>7156</v>
      </c>
    </row>
    <row r="5" spans="1:2" x14ac:dyDescent="0.35">
      <c r="A5" s="3" t="s">
        <v>12</v>
      </c>
      <c r="B5">
        <v>7611</v>
      </c>
    </row>
    <row r="6" spans="1:2" x14ac:dyDescent="0.35">
      <c r="A6" s="3" t="s">
        <v>7</v>
      </c>
      <c r="B6">
        <v>8742</v>
      </c>
    </row>
    <row r="7" spans="1:2" x14ac:dyDescent="0.35">
      <c r="A7" s="3" t="s">
        <v>8</v>
      </c>
      <c r="B7">
        <v>9885</v>
      </c>
    </row>
    <row r="8" spans="1:2" x14ac:dyDescent="0.35">
      <c r="A8" s="3" t="s">
        <v>13</v>
      </c>
      <c r="B8">
        <v>33394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74BD-A554-481A-91E8-B842BD9620C4}">
  <dimension ref="A3:B4"/>
  <sheetViews>
    <sheetView workbookViewId="0">
      <selection activeCell="A4" sqref="A4"/>
    </sheetView>
  </sheetViews>
  <sheetFormatPr baseColWidth="10" defaultRowHeight="14.5" x14ac:dyDescent="0.35"/>
  <cols>
    <col min="1" max="1" width="17.54296875" bestFit="1" customWidth="1"/>
    <col min="2" max="2" width="19.6328125" bestFit="1" customWidth="1"/>
  </cols>
  <sheetData>
    <row r="3" spans="1:2" x14ac:dyDescent="0.35">
      <c r="A3" s="4" t="s">
        <v>23</v>
      </c>
      <c r="B3" s="5" t="s">
        <v>24</v>
      </c>
    </row>
    <row r="4" spans="1:2" x14ac:dyDescent="0.35">
      <c r="A4" s="4">
        <v>9.6866666666666674</v>
      </c>
      <c r="B4" s="5">
        <v>0.79616666666666658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17E1-6220-455F-B203-D500A9AF0F17}">
  <dimension ref="A3:C7"/>
  <sheetViews>
    <sheetView workbookViewId="0">
      <selection activeCell="J10" sqref="J10"/>
    </sheetView>
  </sheetViews>
  <sheetFormatPr baseColWidth="10" defaultRowHeight="14.5" x14ac:dyDescent="0.35"/>
  <cols>
    <col min="1" max="1" width="11.7265625" bestFit="1" customWidth="1"/>
    <col min="2" max="2" width="17.54296875" bestFit="1" customWidth="1"/>
    <col min="3" max="3" width="19.6328125" bestFit="1" customWidth="1"/>
  </cols>
  <sheetData>
    <row r="3" spans="1:3" x14ac:dyDescent="0.35">
      <c r="A3" s="2" t="s">
        <v>1</v>
      </c>
      <c r="B3" s="4" t="s">
        <v>23</v>
      </c>
      <c r="C3" s="5" t="s">
        <v>24</v>
      </c>
    </row>
    <row r="4" spans="1:3" x14ac:dyDescent="0.35">
      <c r="A4" s="3" t="s">
        <v>6</v>
      </c>
      <c r="B4" s="4">
        <v>9.3571428571428577</v>
      </c>
      <c r="C4" s="5">
        <v>0.81276785714285715</v>
      </c>
    </row>
    <row r="5" spans="1:3" x14ac:dyDescent="0.35">
      <c r="A5" s="3" t="s">
        <v>10</v>
      </c>
      <c r="B5" s="4">
        <v>10.023255813953488</v>
      </c>
      <c r="C5" s="5">
        <v>0.79744186046511623</v>
      </c>
    </row>
    <row r="6" spans="1:3" x14ac:dyDescent="0.35">
      <c r="A6" s="3" t="s">
        <v>11</v>
      </c>
      <c r="B6" s="4">
        <v>9.764705882352942</v>
      </c>
      <c r="C6" s="5">
        <v>0.77686274509803932</v>
      </c>
    </row>
    <row r="7" spans="1:3" x14ac:dyDescent="0.35">
      <c r="A7" s="3" t="s">
        <v>13</v>
      </c>
      <c r="B7" s="4">
        <v>9.6866666666666674</v>
      </c>
      <c r="C7" s="5">
        <v>0.79616666666666658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EFA3-FE80-40F5-BBD6-D36BC4AAB8F6}">
  <sheetPr>
    <pageSetUpPr fitToPage="1"/>
  </sheetPr>
  <dimension ref="A1:R41"/>
  <sheetViews>
    <sheetView showGridLines="0" tabSelected="1" topLeftCell="A16" zoomScale="70" zoomScaleNormal="70" workbookViewId="0">
      <selection activeCell="S35" sqref="S35"/>
    </sheetView>
  </sheetViews>
  <sheetFormatPr baseColWidth="10" defaultRowHeight="14.5" x14ac:dyDescent="0.35"/>
  <cols>
    <col min="1" max="1" width="9.54296875" customWidth="1"/>
    <col min="4" max="4" width="10.90625" customWidth="1"/>
    <col min="5" max="5" width="13.7265625" customWidth="1"/>
    <col min="6" max="6" width="11.54296875" customWidth="1"/>
    <col min="9" max="9" width="11.81640625" customWidth="1"/>
  </cols>
  <sheetData>
    <row r="1" spans="1:18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8.5" x14ac:dyDescent="0.45">
      <c r="A5" s="9"/>
      <c r="B5" s="9"/>
      <c r="C5" s="9"/>
      <c r="D5" s="12" t="s">
        <v>19</v>
      </c>
      <c r="E5" s="12"/>
      <c r="F5" s="9"/>
      <c r="G5" s="12" t="s">
        <v>21</v>
      </c>
      <c r="H5" s="12"/>
      <c r="I5" s="12"/>
      <c r="J5" s="14" t="s">
        <v>20</v>
      </c>
      <c r="K5" s="14"/>
      <c r="L5" s="14"/>
      <c r="M5" s="14"/>
      <c r="N5" s="9"/>
      <c r="O5" s="9"/>
      <c r="P5" s="9"/>
      <c r="Q5" s="9"/>
      <c r="R5" s="9"/>
    </row>
    <row r="6" spans="1:18" ht="46" x14ac:dyDescent="1">
      <c r="A6" s="9"/>
      <c r="B6" s="9"/>
      <c r="C6" s="9"/>
      <c r="D6" s="13">
        <f>GETPIVOTDATA("Nb_contacts",'TCD1'!$A$3)</f>
        <v>33394</v>
      </c>
      <c r="E6" s="13"/>
      <c r="F6" s="9"/>
      <c r="G6" s="15">
        <f>GETPIVOTDATA("Temps moyen (min)",'TCD4'!$A$3)</f>
        <v>9.6866666666666674</v>
      </c>
      <c r="H6" s="15"/>
      <c r="I6" s="15"/>
      <c r="J6" s="9"/>
      <c r="K6" s="16">
        <f>GETPIVOTDATA("Taux de résolution (%)",'TCD4'!$A$3)</f>
        <v>0.79616666666666658</v>
      </c>
      <c r="L6" s="16"/>
      <c r="M6" s="9"/>
      <c r="N6" s="9"/>
      <c r="O6" s="9"/>
      <c r="P6" s="9"/>
      <c r="Q6" s="9"/>
      <c r="R6" s="9"/>
    </row>
    <row r="7" spans="1:18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8.5" x14ac:dyDescent="0.45">
      <c r="A9" s="9"/>
      <c r="B9" s="10"/>
      <c r="C9" s="10"/>
      <c r="D9" s="10"/>
      <c r="E9" s="11"/>
      <c r="F9" s="10"/>
      <c r="G9" s="10"/>
      <c r="H9" s="10"/>
      <c r="I9" s="10"/>
      <c r="J9" s="10"/>
      <c r="K9" s="9"/>
      <c r="L9" s="9"/>
      <c r="M9" s="9"/>
      <c r="N9" s="9"/>
      <c r="O9" s="9"/>
      <c r="P9" s="9"/>
      <c r="Q9" s="9"/>
      <c r="R9" s="9"/>
    </row>
    <row r="10" spans="1:18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8.5" x14ac:dyDescent="0.4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9"/>
      <c r="P24" s="9"/>
      <c r="Q24" s="9"/>
      <c r="R24" s="9"/>
    </row>
    <row r="25" spans="1:18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8.5" x14ac:dyDescent="0.45">
      <c r="A37" s="9"/>
      <c r="B37" s="9"/>
      <c r="C37" s="11"/>
      <c r="D37" s="11"/>
      <c r="E37" s="11"/>
      <c r="F37" s="11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8.5" x14ac:dyDescent="0.45">
      <c r="A39" s="9"/>
      <c r="B39" s="9"/>
      <c r="C39" s="9"/>
      <c r="D39" s="9"/>
      <c r="E39" s="12" t="s">
        <v>25</v>
      </c>
      <c r="F39" s="12"/>
      <c r="G39" s="12"/>
      <c r="H39" s="12"/>
      <c r="I39" s="12"/>
      <c r="J39" s="12"/>
      <c r="K39" s="9"/>
      <c r="L39" s="9"/>
      <c r="M39" s="9"/>
      <c r="N39" s="9"/>
      <c r="O39" s="9"/>
      <c r="P39" s="9"/>
      <c r="Q39" s="9"/>
      <c r="R39" s="9"/>
    </row>
    <row r="40" spans="1:18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21" x14ac:dyDescent="0.5">
      <c r="D41" s="7"/>
      <c r="E41" s="7"/>
      <c r="F41" s="7"/>
      <c r="G41" s="7"/>
      <c r="H41" s="7"/>
      <c r="I41" s="7"/>
      <c r="J41" s="7"/>
      <c r="K41" s="7"/>
      <c r="L41" s="7"/>
      <c r="M41" s="7"/>
    </row>
  </sheetData>
  <mergeCells count="7">
    <mergeCell ref="E39:J39"/>
    <mergeCell ref="D5:E5"/>
    <mergeCell ref="D6:E6"/>
    <mergeCell ref="J5:M5"/>
    <mergeCell ref="G5:I5"/>
    <mergeCell ref="G6:I6"/>
    <mergeCell ref="K6:L6"/>
  </mergeCells>
  <pageMargins left="0.7" right="0.7" top="0.75" bottom="0.75" header="0.3" footer="0.3"/>
  <pageSetup paperSize="9" scale="69" orientation="landscape" horizontalDpi="1200" verticalDpi="12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2A8D5-21CC-4570-884E-6FEA56816E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Clean_Data</vt:lpstr>
      <vt:lpstr>TCD1</vt:lpstr>
      <vt:lpstr>TCD2</vt:lpstr>
      <vt:lpstr>TCD3</vt:lpstr>
      <vt:lpstr>TCD4</vt:lpstr>
      <vt:lpstr>TCD5</vt:lpstr>
      <vt:lpstr>DASHBOARD</vt:lpstr>
      <vt:lpstr>DASHBOARD!Zone_d_impression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Landryne HOUEHOU</dc:creator>
  <cp:lastModifiedBy>Landryne HOUEHOU</cp:lastModifiedBy>
  <cp:lastPrinted>2026-04-02T18:13:29Z</cp:lastPrinted>
  <dcterms:created xsi:type="dcterms:W3CDTF">2026-02-19T10:24:27Z</dcterms:created>
  <dcterms:modified xsi:type="dcterms:W3CDTF">2026-04-15T19:04:50Z</dcterms:modified>
</cp:coreProperties>
</file>